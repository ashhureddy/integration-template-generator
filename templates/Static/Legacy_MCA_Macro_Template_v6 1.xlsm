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llur\OneDrive - Mastec\Desktop\Babyyy tool\TOOL REQ\TOOL REQ\TOOL5\"/>
    </mc:Choice>
  </mc:AlternateContent>
  <xr:revisionPtr revIDLastSave="0" documentId="13_ncr:1_{F0117945-0843-44C0-B25C-D2A43DB47402}" xr6:coauthVersionLast="47" xr6:coauthVersionMax="47" xr10:uidLastSave="{00000000-0000-0000-0000-000000000000}"/>
  <bookViews>
    <workbookView xWindow="-108" yWindow="-108" windowWidth="23256" windowHeight="12456" xr2:uid="{8A036C14-A14D-4B2D-A50E-C098A837F5FC}"/>
  </bookViews>
  <sheets>
    <sheet name="Legacy_MCA" sheetId="7" r:id="rId1"/>
    <sheet name="Report_MCA" sheetId="35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6" i="35" l="1"/>
  <c r="A185" i="35"/>
  <c r="A187" i="35"/>
  <c r="A188" i="35"/>
  <c r="A189" i="35"/>
  <c r="A190" i="35"/>
  <c r="A191" i="35"/>
  <c r="A192" i="35"/>
  <c r="A193" i="35"/>
  <c r="A194" i="35"/>
  <c r="A184" i="35"/>
  <c r="A182" i="35"/>
  <c r="A172" i="35"/>
  <c r="A173" i="35"/>
  <c r="A174" i="35"/>
  <c r="A175" i="35"/>
  <c r="A176" i="35"/>
  <c r="A177" i="35"/>
  <c r="A178" i="35"/>
  <c r="A179" i="35"/>
  <c r="A180" i="35"/>
  <c r="A171" i="35"/>
  <c r="A169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08" i="35"/>
  <c r="A106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81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42" i="35"/>
  <c r="A40" i="35"/>
  <c r="A23" i="35"/>
  <c r="B23" i="35"/>
  <c r="C23" i="35"/>
  <c r="A24" i="35"/>
  <c r="B24" i="35"/>
  <c r="C24" i="35"/>
  <c r="A25" i="35"/>
  <c r="B25" i="35"/>
  <c r="C25" i="35"/>
  <c r="A26" i="35"/>
  <c r="B26" i="35"/>
  <c r="C26" i="35"/>
  <c r="A27" i="35"/>
  <c r="B27" i="35"/>
  <c r="C27" i="35"/>
  <c r="A28" i="35"/>
  <c r="B28" i="35"/>
  <c r="C28" i="35"/>
  <c r="A29" i="35"/>
  <c r="B29" i="35"/>
  <c r="C29" i="35"/>
  <c r="A30" i="35"/>
  <c r="B30" i="35"/>
  <c r="C30" i="35"/>
  <c r="A31" i="35"/>
  <c r="B31" i="35"/>
  <c r="C31" i="35"/>
  <c r="A32" i="35"/>
  <c r="B32" i="35"/>
  <c r="C32" i="35"/>
  <c r="A33" i="35"/>
  <c r="B33" i="35"/>
  <c r="C33" i="35"/>
  <c r="A34" i="35"/>
  <c r="B34" i="35"/>
  <c r="C34" i="35"/>
  <c r="A35" i="35"/>
  <c r="B35" i="35"/>
  <c r="C35" i="35"/>
  <c r="A36" i="35"/>
  <c r="B36" i="35"/>
  <c r="C36" i="35"/>
  <c r="A37" i="35"/>
  <c r="B37" i="35"/>
  <c r="C37" i="35"/>
  <c r="A38" i="35"/>
  <c r="B38" i="35"/>
  <c r="C38" i="35"/>
  <c r="C22" i="35"/>
  <c r="B22" i="35"/>
  <c r="A22" i="35"/>
  <c r="A20" i="35"/>
  <c r="A21" i="35"/>
  <c r="A19" i="35"/>
  <c r="A17" i="35"/>
  <c r="A10" i="35"/>
  <c r="A11" i="35"/>
  <c r="A12" i="35"/>
  <c r="A13" i="35"/>
  <c r="A14" i="35"/>
  <c r="A15" i="35"/>
  <c r="A9" i="35"/>
  <c r="A7" i="35"/>
  <c r="A5" i="35"/>
  <c r="A4" i="35"/>
  <c r="A2" i="35"/>
  <c r="A1" i="35"/>
</calcChain>
</file>

<file path=xl/sharedStrings.xml><?xml version="1.0" encoding="utf-8"?>
<sst xmlns="http://schemas.openxmlformats.org/spreadsheetml/2006/main" count="507" uniqueCount="180">
  <si>
    <t>Subject</t>
  </si>
  <si>
    <t>MIC</t>
  </si>
  <si>
    <t>Market (MNS or TILLMAN or AT&amp;T)</t>
  </si>
  <si>
    <t>Status</t>
  </si>
  <si>
    <t>Site Name</t>
  </si>
  <si>
    <t>FA CODE</t>
  </si>
  <si>
    <t>Site ID's</t>
  </si>
  <si>
    <t>SOW</t>
  </si>
  <si>
    <t>MNS</t>
  </si>
  <si>
    <t xml:space="preserve"> IX-STF </t>
  </si>
  <si>
    <t>DONALDSONVILLE</t>
  </si>
  <si>
    <t>FA 10020757</t>
  </si>
  <si>
    <t>LAL01025/LAL05025/LBRN011025</t>
  </si>
  <si>
    <t>LTE Configuration Update/Cband/DoD</t>
  </si>
  <si>
    <t>QWEST (PM DATA)/ Schedule EMAIL</t>
  </si>
  <si>
    <t>If ATP or STF</t>
  </si>
  <si>
    <t>AOTS/Schedule Email/QWEST (PM DATA)</t>
  </si>
  <si>
    <t>QWEST/Site locator</t>
  </si>
  <si>
    <t>CIQ Node Info tab</t>
  </si>
  <si>
    <t>Manual Feed Based on SOW performed on site</t>
  </si>
  <si>
    <t>IWM Details</t>
  </si>
  <si>
    <t>Enter IWM details here</t>
  </si>
  <si>
    <t>Scheduled Emails /QWEST Ticketing Tool</t>
  </si>
  <si>
    <t>Configuration</t>
  </si>
  <si>
    <t>Pre Configuration</t>
  </si>
  <si>
    <t>Enter Pre Configuration</t>
  </si>
  <si>
    <t>Current Configuration</t>
  </si>
  <si>
    <t>Enter Current Configuration if any Equipment missing as per Final Configuration</t>
  </si>
  <si>
    <t>Post Configuration</t>
  </si>
  <si>
    <t>Enter Post Configuration</t>
  </si>
  <si>
    <t>WLL  node</t>
  </si>
  <si>
    <t>WLL Node ID</t>
  </si>
  <si>
    <t>6610 Controller</t>
  </si>
  <si>
    <t>6610 Controller ID</t>
  </si>
  <si>
    <t>Software version</t>
  </si>
  <si>
    <t>Enter Current SW version</t>
  </si>
  <si>
    <t>GS Version</t>
  </si>
  <si>
    <t>Enter Current GS Version</t>
  </si>
  <si>
    <t>IDL Connections</t>
  </si>
  <si>
    <t>Build Type</t>
  </si>
  <si>
    <t>Add IDLe/IDLy connection Build Type</t>
  </si>
  <si>
    <t>IDLe</t>
  </si>
  <si>
    <t>IDLe Cable Part Number used or Installed</t>
  </si>
  <si>
    <t>1st Node ID (Board Type)</t>
  </si>
  <si>
    <t>2nd Node ID (Board Type)</t>
  </si>
  <si>
    <t>Manual Feed BTS Document and CIQ</t>
  </si>
  <si>
    <t>IDLy</t>
  </si>
  <si>
    <t>IDLy Cable Part Number used or Installed</t>
  </si>
  <si>
    <t>3rd Node ID (Board Type)</t>
  </si>
  <si>
    <t>If Switch is present</t>
  </si>
  <si>
    <t>Switch</t>
  </si>
  <si>
    <t>Switch type</t>
  </si>
  <si>
    <t>Switch ID</t>
  </si>
  <si>
    <t>CIQ</t>
  </si>
  <si>
    <t>Slot/Port</t>
  </si>
  <si>
    <t>Cable part number</t>
  </si>
  <si>
    <t>Node ID</t>
  </si>
  <si>
    <t>Manual Feed based on NEST &amp; CIQ</t>
  </si>
  <si>
    <t>Completed</t>
  </si>
  <si>
    <t>Integration:</t>
  </si>
  <si>
    <t>Carriers added</t>
  </si>
  <si>
    <t>1st Node ID</t>
  </si>
  <si>
    <t>2nd Node ID</t>
  </si>
  <si>
    <t>3rd Node ID</t>
  </si>
  <si>
    <t>6610 Controller Integration:</t>
  </si>
  <si>
    <t>Port speed 1G to 10G conversion with MPST:</t>
  </si>
  <si>
    <t>Moved Sectors:</t>
  </si>
  <si>
    <t>Sectors Moved</t>
  </si>
  <si>
    <t>From:</t>
  </si>
  <si>
    <t>To:</t>
  </si>
  <si>
    <t>Deleted Node from ENM:</t>
  </si>
  <si>
    <t>Delete Node ID</t>
  </si>
  <si>
    <t>Deleted Sector :</t>
  </si>
  <si>
    <t>Delete Sector ID</t>
  </si>
  <si>
    <t>Retune on:</t>
  </si>
  <si>
    <t>Retune sector</t>
  </si>
  <si>
    <t xml:space="preserve"> Frequency/BW</t>
  </si>
  <si>
    <t>FDD Renaming on:</t>
  </si>
  <si>
    <t>Sector</t>
  </si>
  <si>
    <t>FDD NAME</t>
  </si>
  <si>
    <t>Radio Swap on:</t>
  </si>
  <si>
    <t>Radio swap sector</t>
  </si>
  <si>
    <t xml:space="preserve"> Radio type</t>
  </si>
  <si>
    <t>DSS Activation:</t>
  </si>
  <si>
    <t>Sectors</t>
  </si>
  <si>
    <t>NGS activation:</t>
  </si>
  <si>
    <t>GPS Installation:</t>
  </si>
  <si>
    <t xml:space="preserve">Version: </t>
  </si>
  <si>
    <t>GPS Version</t>
  </si>
  <si>
    <t>LKF Installation:</t>
  </si>
  <si>
    <t>Node ID | 6610 Controller ID</t>
  </si>
  <si>
    <t>PSAP test/Speedtest/VoLTE voice calltest:</t>
  </si>
  <si>
    <t xml:space="preserve">Moved LTE Sectors </t>
  </si>
  <si>
    <t>PSAP Schedule ID:</t>
  </si>
  <si>
    <t>Enter PSAP Schedule ID</t>
  </si>
  <si>
    <t>Speedtest/VoLTE voice calltest:</t>
  </si>
  <si>
    <t xml:space="preserve">LTE Sectors </t>
  </si>
  <si>
    <t>Speed test:</t>
  </si>
  <si>
    <t>5G Sectors</t>
  </si>
  <si>
    <t>Calltest with F-NET SIM:</t>
  </si>
  <si>
    <t>F-NET Sectors</t>
  </si>
  <si>
    <t>Transport SFP Installation on</t>
  </si>
  <si>
    <t>SFP Model (BBU End) &amp; SFP Model (SIAD End)</t>
  </si>
  <si>
    <t>SFP Installation on</t>
  </si>
  <si>
    <t>SFP Type</t>
  </si>
  <si>
    <t>Sector Details</t>
  </si>
  <si>
    <t>RET configuration</t>
  </si>
  <si>
    <t>External alarm Scripting on</t>
  </si>
  <si>
    <t>SAU Connections:</t>
  </si>
  <si>
    <t>SUP Connections:</t>
  </si>
  <si>
    <t>XMU Installation:</t>
  </si>
  <si>
    <t>IDL connections</t>
  </si>
  <si>
    <t>External alarm testing:</t>
  </si>
  <si>
    <t>6673 Script load</t>
  </si>
  <si>
    <t>Installation</t>
  </si>
  <si>
    <t>6673/6675/6610/SIAD/Baseband's</t>
  </si>
  <si>
    <t>Swap Sector Verfication</t>
  </si>
  <si>
    <t>CBAND|DOD</t>
  </si>
  <si>
    <t>*Applicable for NOCAL Market only</t>
  </si>
  <si>
    <t>Enter any additional completed information that needs to be added in report</t>
  </si>
  <si>
    <t>For Florida Site Only - Enter newly added CBAND and DOD NRCELLDU</t>
  </si>
  <si>
    <t xml:space="preserve">Newly added Cells </t>
  </si>
  <si>
    <t>sample cell1</t>
  </si>
  <si>
    <t>sample cell2</t>
  </si>
  <si>
    <t>sample cell3</t>
  </si>
  <si>
    <t>sample cell4</t>
  </si>
  <si>
    <t>sample cell5</t>
  </si>
  <si>
    <t>sample cell6</t>
  </si>
  <si>
    <t>sample cell7</t>
  </si>
  <si>
    <t>sample cell8</t>
  </si>
  <si>
    <t>sample cell9</t>
  </si>
  <si>
    <t>sample cell10</t>
  </si>
  <si>
    <t>sample cell11</t>
  </si>
  <si>
    <t>sample cell12</t>
  </si>
  <si>
    <t>Pending</t>
  </si>
  <si>
    <t>(MIC PM)</t>
  </si>
  <si>
    <t>SIAD provisioning on</t>
  </si>
  <si>
    <t>(AT&amp;T)</t>
  </si>
  <si>
    <t>EDP Publish</t>
  </si>
  <si>
    <t>Node ID | 6610 Controller ID |Switch ID</t>
  </si>
  <si>
    <t>From</t>
  </si>
  <si>
    <t>To</t>
  </si>
  <si>
    <t>(MIC)</t>
  </si>
  <si>
    <t>(Tower Crew)</t>
  </si>
  <si>
    <t>(MIC|AT&amp;T)</t>
  </si>
  <si>
    <t>(MIC PM|Tower Crew)</t>
  </si>
  <si>
    <t>SFP Installation:</t>
  </si>
  <si>
    <t>BBU end</t>
  </si>
  <si>
    <t>Radio end</t>
  </si>
  <si>
    <t>Compatible Transport SFP Installation on</t>
  </si>
  <si>
    <t>SIAD end</t>
  </si>
  <si>
    <t>External alarm Scripting:</t>
  </si>
  <si>
    <t>Rilinks Scripting:</t>
  </si>
  <si>
    <t>6673 Script load:</t>
  </si>
  <si>
    <t>6673 Configuration:</t>
  </si>
  <si>
    <t>6673 Port Configuration in ENM:</t>
  </si>
  <si>
    <t>Slot|Port Number|Node ID</t>
  </si>
  <si>
    <t>Area test:</t>
  </si>
  <si>
    <t>Area Lite  - Passed or Failed</t>
  </si>
  <si>
    <t>Link failure:</t>
  </si>
  <si>
    <t>Radio</t>
  </si>
  <si>
    <t>SFP Not Present:</t>
  </si>
  <si>
    <t>Mo Inconsistent configuration alarm:</t>
  </si>
  <si>
    <t>Fiberloss on</t>
  </si>
  <si>
    <t>Data Link_1:</t>
  </si>
  <si>
    <t>Data Link_2:</t>
  </si>
  <si>
    <t>High RSSI on</t>
  </si>
  <si>
    <t>Low RSSI on</t>
  </si>
  <si>
    <t>High VSWR on</t>
  </si>
  <si>
    <t>Low VSWR on</t>
  </si>
  <si>
    <t>VSWR overthreshold alarm on</t>
  </si>
  <si>
    <t>Enter any additional pending information that needs to be report to Market</t>
  </si>
  <si>
    <t>(Enter Respective stake holder associated with pending item)</t>
  </si>
  <si>
    <t>Pre-Existing Issues:</t>
  </si>
  <si>
    <t>Enter any Pre-Existing Issues that needs to be reported to Market</t>
  </si>
  <si>
    <t>Notes:</t>
  </si>
  <si>
    <t>Final Port Configuration attached.</t>
  </si>
  <si>
    <t>NR configuration has been verified.</t>
  </si>
  <si>
    <r>
      <t>Pre-Existing MME configuration left as it is on node</t>
    </r>
    <r>
      <rPr>
        <b/>
        <sz val="11"/>
        <color rgb="FFFF0000"/>
        <rFont val="Calibri"/>
        <family val="2"/>
        <scheme val="minor"/>
      </rPr>
      <t xml:space="preserve"> xxNode_Idxx</t>
    </r>
  </si>
  <si>
    <t>Enter Notes that need to be reported or addressed to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</si>
</sst>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222222"/>
      <name val="Arial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7" borderId="1" xfId="0" applyFont="1" applyFill="1" applyBorder="1"/>
    <xf numFmtId="0" fontId="0" fillId="7" borderId="1" xfId="0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1" fillId="7" borderId="1" xfId="0" applyFont="1" applyFill="1" applyBorder="1" applyAlignment="1">
      <alignment horizontal="left"/>
    </xf>
    <xf numFmtId="0" fontId="0" fillId="5" borderId="0" xfId="0" applyFill="1"/>
    <xf numFmtId="0" fontId="2" fillId="11" borderId="0" xfId="0" applyFont="1" applyFill="1"/>
    <xf numFmtId="0" fontId="1" fillId="7" borderId="3" xfId="0" applyFont="1" applyFill="1" applyBorder="1" applyAlignment="1">
      <alignment horizontal="left"/>
    </xf>
    <xf numFmtId="0" fontId="1" fillId="7" borderId="4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12" borderId="0" xfId="0" applyFont="1" applyFill="1"/>
    <xf numFmtId="0" fontId="1" fillId="7" borderId="3" xfId="0" applyFont="1" applyFill="1" applyBorder="1"/>
    <xf numFmtId="0" fontId="1" fillId="7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0" fontId="1" fillId="5" borderId="5" xfId="0" applyFont="1" applyFill="1" applyBorder="1" applyAlignment="1">
      <alignment horizontal="left"/>
    </xf>
    <xf numFmtId="0" fontId="1" fillId="3" borderId="1" xfId="0" applyFont="1" applyFill="1" applyBorder="1"/>
    <xf numFmtId="0" fontId="1" fillId="7" borderId="5" xfId="0" applyFont="1" applyFill="1" applyBorder="1" applyAlignment="1">
      <alignment horizontal="left"/>
    </xf>
    <xf numFmtId="0" fontId="0" fillId="7" borderId="4" xfId="0" applyFill="1" applyBorder="1"/>
    <xf numFmtId="0" fontId="1" fillId="7" borderId="7" xfId="0" applyFont="1" applyFill="1" applyBorder="1" applyAlignment="1">
      <alignment horizontal="left"/>
    </xf>
    <xf numFmtId="0" fontId="1" fillId="5" borderId="0" xfId="0" applyFont="1" applyFill="1"/>
    <xf numFmtId="0" fontId="1" fillId="7" borderId="4" xfId="0" applyFont="1" applyFill="1" applyBorder="1"/>
    <xf numFmtId="0" fontId="1" fillId="7" borderId="6" xfId="0" applyFont="1" applyFill="1" applyBorder="1"/>
    <xf numFmtId="0" fontId="1" fillId="9" borderId="4" xfId="0" applyFont="1" applyFill="1" applyBorder="1" applyAlignment="1">
      <alignment horizontal="left"/>
    </xf>
    <xf numFmtId="0" fontId="1" fillId="7" borderId="4" xfId="0" applyFont="1" applyFill="1" applyBorder="1" applyAlignment="1">
      <alignment horizontal="center"/>
    </xf>
    <xf numFmtId="0" fontId="1" fillId="9" borderId="4" xfId="0" applyFont="1" applyFill="1" applyBorder="1"/>
    <xf numFmtId="0" fontId="1" fillId="3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3" borderId="4" xfId="0" applyFill="1" applyBorder="1"/>
    <xf numFmtId="0" fontId="0" fillId="12" borderId="8" xfId="0" applyFill="1" applyBorder="1"/>
    <xf numFmtId="0" fontId="1" fillId="4" borderId="4" xfId="0" applyFont="1" applyFill="1" applyBorder="1"/>
    <xf numFmtId="0" fontId="2" fillId="3" borderId="4" xfId="0" applyFont="1" applyFill="1" applyBorder="1"/>
    <xf numFmtId="0" fontId="0" fillId="6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2" fillId="11" borderId="4" xfId="0" applyFont="1" applyFill="1" applyBorder="1"/>
    <xf numFmtId="0" fontId="0" fillId="2" borderId="4" xfId="0" applyFill="1" applyBorder="1"/>
    <xf numFmtId="0" fontId="0" fillId="13" borderId="4" xfId="0" applyFill="1" applyBorder="1"/>
    <xf numFmtId="0" fontId="2" fillId="10" borderId="4" xfId="0" applyFont="1" applyFill="1" applyBorder="1"/>
    <xf numFmtId="0" fontId="0" fillId="2" borderId="4" xfId="0" applyFill="1" applyBorder="1" applyAlignment="1">
      <alignment horizontal="left"/>
    </xf>
    <xf numFmtId="0" fontId="0" fillId="8" borderId="0" xfId="0" applyFill="1" applyAlignment="1">
      <alignment horizontal="center"/>
    </xf>
    <xf numFmtId="0" fontId="1" fillId="7" borderId="9" xfId="0" applyFont="1" applyFill="1" applyBorder="1" applyAlignment="1">
      <alignment horizontal="left"/>
    </xf>
    <xf numFmtId="0" fontId="1" fillId="3" borderId="0" xfId="0" applyFont="1" applyFill="1"/>
    <xf numFmtId="0" fontId="1" fillId="9" borderId="10" xfId="0" applyFont="1" applyFill="1" applyBorder="1" applyAlignment="1">
      <alignment horizontal="left"/>
    </xf>
    <xf numFmtId="0" fontId="0" fillId="3" borderId="3" xfId="0" applyFill="1" applyBorder="1"/>
    <xf numFmtId="0" fontId="4" fillId="5" borderId="0" xfId="0" applyFont="1" applyFill="1"/>
    <xf numFmtId="0" fontId="5" fillId="0" borderId="1" xfId="0" applyFont="1" applyBorder="1"/>
    <xf numFmtId="0" fontId="5" fillId="5" borderId="1" xfId="0" applyFont="1" applyFill="1" applyBorder="1"/>
    <xf numFmtId="0" fontId="1" fillId="0" borderId="0" xfId="0" applyFont="1"/>
    <xf numFmtId="14" fontId="0" fillId="0" borderId="0" xfId="0" applyNumberFormat="1" applyAlignment="1">
      <alignment horizontal="left"/>
    </xf>
    <xf numFmtId="0" fontId="2" fillId="4" borderId="4" xfId="0" applyFont="1" applyFill="1" applyBorder="1"/>
    <xf numFmtId="0" fontId="1" fillId="7" borderId="2" xfId="0" applyFont="1" applyFill="1" applyBorder="1" applyAlignment="1">
      <alignment horizontal="left"/>
    </xf>
    <xf numFmtId="0" fontId="0" fillId="14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0</xdr:row>
          <xdr:rowOff>0</xdr:rowOff>
        </xdr:from>
        <xdr:to>
          <xdr:col>0</xdr:col>
          <xdr:colOff>449580</xdr:colOff>
          <xdr:row>0</xdr:row>
          <xdr:rowOff>175260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</xdr:row>
          <xdr:rowOff>0</xdr:rowOff>
        </xdr:from>
        <xdr:to>
          <xdr:col>0</xdr:col>
          <xdr:colOff>449580</xdr:colOff>
          <xdr:row>3</xdr:row>
          <xdr:rowOff>0</xdr:rowOff>
        </xdr:to>
        <xdr:sp macro="" textlink="">
          <xdr:nvSpPr>
            <xdr:cNvPr id="1028" name="CheckBox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</xdr:row>
          <xdr:rowOff>0</xdr:rowOff>
        </xdr:from>
        <xdr:to>
          <xdr:col>0</xdr:col>
          <xdr:colOff>449580</xdr:colOff>
          <xdr:row>6</xdr:row>
          <xdr:rowOff>0</xdr:rowOff>
        </xdr:to>
        <xdr:sp macro="" textlink="">
          <xdr:nvSpPr>
            <xdr:cNvPr id="1031" name="CheckBox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</xdr:row>
          <xdr:rowOff>0</xdr:rowOff>
        </xdr:from>
        <xdr:to>
          <xdr:col>0</xdr:col>
          <xdr:colOff>449580</xdr:colOff>
          <xdr:row>9</xdr:row>
          <xdr:rowOff>0</xdr:rowOff>
        </xdr:to>
        <xdr:sp macro="" textlink="">
          <xdr:nvSpPr>
            <xdr:cNvPr id="1034" name="CheckBox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</xdr:row>
          <xdr:rowOff>0</xdr:rowOff>
        </xdr:from>
        <xdr:to>
          <xdr:col>0</xdr:col>
          <xdr:colOff>449580</xdr:colOff>
          <xdr:row>10</xdr:row>
          <xdr:rowOff>0</xdr:rowOff>
        </xdr:to>
        <xdr:sp macro="" textlink="">
          <xdr:nvSpPr>
            <xdr:cNvPr id="1035" name="CheckBox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</xdr:row>
          <xdr:rowOff>0</xdr:rowOff>
        </xdr:from>
        <xdr:to>
          <xdr:col>0</xdr:col>
          <xdr:colOff>449580</xdr:colOff>
          <xdr:row>11</xdr:row>
          <xdr:rowOff>0</xdr:rowOff>
        </xdr:to>
        <xdr:sp macro="" textlink="">
          <xdr:nvSpPr>
            <xdr:cNvPr id="1036" name="CheckBox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</xdr:row>
          <xdr:rowOff>0</xdr:rowOff>
        </xdr:from>
        <xdr:to>
          <xdr:col>0</xdr:col>
          <xdr:colOff>449580</xdr:colOff>
          <xdr:row>12</xdr:row>
          <xdr:rowOff>0</xdr:rowOff>
        </xdr:to>
        <xdr:sp macro="" textlink="">
          <xdr:nvSpPr>
            <xdr:cNvPr id="1037" name="CheckBox1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</xdr:row>
          <xdr:rowOff>0</xdr:rowOff>
        </xdr:from>
        <xdr:to>
          <xdr:col>0</xdr:col>
          <xdr:colOff>449580</xdr:colOff>
          <xdr:row>13</xdr:row>
          <xdr:rowOff>0</xdr:rowOff>
        </xdr:to>
        <xdr:sp macro="" textlink="">
          <xdr:nvSpPr>
            <xdr:cNvPr id="1038" name="CheckBox1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</xdr:row>
          <xdr:rowOff>0</xdr:rowOff>
        </xdr:from>
        <xdr:to>
          <xdr:col>0</xdr:col>
          <xdr:colOff>449580</xdr:colOff>
          <xdr:row>14</xdr:row>
          <xdr:rowOff>0</xdr:rowOff>
        </xdr:to>
        <xdr:sp macro="" textlink="">
          <xdr:nvSpPr>
            <xdr:cNvPr id="1039" name="CheckBox1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</xdr:row>
          <xdr:rowOff>0</xdr:rowOff>
        </xdr:from>
        <xdr:to>
          <xdr:col>0</xdr:col>
          <xdr:colOff>449580</xdr:colOff>
          <xdr:row>15</xdr:row>
          <xdr:rowOff>0</xdr:rowOff>
        </xdr:to>
        <xdr:sp macro="" textlink="">
          <xdr:nvSpPr>
            <xdr:cNvPr id="1040" name="CheckBox1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</xdr:row>
          <xdr:rowOff>0</xdr:rowOff>
        </xdr:from>
        <xdr:to>
          <xdr:col>0</xdr:col>
          <xdr:colOff>449580</xdr:colOff>
          <xdr:row>16</xdr:row>
          <xdr:rowOff>0</xdr:rowOff>
        </xdr:to>
        <xdr:sp macro="" textlink="">
          <xdr:nvSpPr>
            <xdr:cNvPr id="1041" name="CheckBox1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</xdr:row>
          <xdr:rowOff>0</xdr:rowOff>
        </xdr:from>
        <xdr:to>
          <xdr:col>0</xdr:col>
          <xdr:colOff>449580</xdr:colOff>
          <xdr:row>18</xdr:row>
          <xdr:rowOff>0</xdr:rowOff>
        </xdr:to>
        <xdr:sp macro="" textlink="">
          <xdr:nvSpPr>
            <xdr:cNvPr id="1043" name="CheckBox1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19</xdr:row>
          <xdr:rowOff>0</xdr:rowOff>
        </xdr:from>
        <xdr:to>
          <xdr:col>0</xdr:col>
          <xdr:colOff>449580</xdr:colOff>
          <xdr:row>19</xdr:row>
          <xdr:rowOff>175260</xdr:rowOff>
        </xdr:to>
        <xdr:sp macro="" textlink="">
          <xdr:nvSpPr>
            <xdr:cNvPr id="1044" name="CheckBox1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20</xdr:row>
          <xdr:rowOff>0</xdr:rowOff>
        </xdr:from>
        <xdr:to>
          <xdr:col>0</xdr:col>
          <xdr:colOff>449580</xdr:colOff>
          <xdr:row>21</xdr:row>
          <xdr:rowOff>0</xdr:rowOff>
        </xdr:to>
        <xdr:sp macro="" textlink="">
          <xdr:nvSpPr>
            <xdr:cNvPr id="1045" name="CheckBox2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23</xdr:row>
          <xdr:rowOff>0</xdr:rowOff>
        </xdr:from>
        <xdr:to>
          <xdr:col>0</xdr:col>
          <xdr:colOff>449580</xdr:colOff>
          <xdr:row>24</xdr:row>
          <xdr:rowOff>0</xdr:rowOff>
        </xdr:to>
        <xdr:sp macro="" textlink="">
          <xdr:nvSpPr>
            <xdr:cNvPr id="1048" name="CheckBox2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24</xdr:row>
          <xdr:rowOff>0</xdr:rowOff>
        </xdr:from>
        <xdr:to>
          <xdr:col>0</xdr:col>
          <xdr:colOff>449580</xdr:colOff>
          <xdr:row>25</xdr:row>
          <xdr:rowOff>0</xdr:rowOff>
        </xdr:to>
        <xdr:sp macro="" textlink="">
          <xdr:nvSpPr>
            <xdr:cNvPr id="1049" name="CheckBox2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25</xdr:row>
          <xdr:rowOff>0</xdr:rowOff>
        </xdr:from>
        <xdr:to>
          <xdr:col>0</xdr:col>
          <xdr:colOff>449580</xdr:colOff>
          <xdr:row>26</xdr:row>
          <xdr:rowOff>0</xdr:rowOff>
        </xdr:to>
        <xdr:sp macro="" textlink="">
          <xdr:nvSpPr>
            <xdr:cNvPr id="1050" name="CheckBox2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26</xdr:row>
          <xdr:rowOff>0</xdr:rowOff>
        </xdr:from>
        <xdr:to>
          <xdr:col>0</xdr:col>
          <xdr:colOff>449580</xdr:colOff>
          <xdr:row>26</xdr:row>
          <xdr:rowOff>175260</xdr:rowOff>
        </xdr:to>
        <xdr:sp macro="" textlink="">
          <xdr:nvSpPr>
            <xdr:cNvPr id="1051" name="CheckBox2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27</xdr:row>
          <xdr:rowOff>0</xdr:rowOff>
        </xdr:from>
        <xdr:to>
          <xdr:col>0</xdr:col>
          <xdr:colOff>449580</xdr:colOff>
          <xdr:row>27</xdr:row>
          <xdr:rowOff>175260</xdr:rowOff>
        </xdr:to>
        <xdr:sp macro="" textlink="">
          <xdr:nvSpPr>
            <xdr:cNvPr id="1052" name="CheckBox2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28</xdr:row>
          <xdr:rowOff>0</xdr:rowOff>
        </xdr:from>
        <xdr:to>
          <xdr:col>0</xdr:col>
          <xdr:colOff>449580</xdr:colOff>
          <xdr:row>28</xdr:row>
          <xdr:rowOff>175260</xdr:rowOff>
        </xdr:to>
        <xdr:sp macro="" textlink="">
          <xdr:nvSpPr>
            <xdr:cNvPr id="1053" name="CheckBox2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29</xdr:row>
          <xdr:rowOff>0</xdr:rowOff>
        </xdr:from>
        <xdr:to>
          <xdr:col>0</xdr:col>
          <xdr:colOff>449580</xdr:colOff>
          <xdr:row>29</xdr:row>
          <xdr:rowOff>175260</xdr:rowOff>
        </xdr:to>
        <xdr:sp macro="" textlink="">
          <xdr:nvSpPr>
            <xdr:cNvPr id="1054" name="CheckBox2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30</xdr:row>
          <xdr:rowOff>0</xdr:rowOff>
        </xdr:from>
        <xdr:to>
          <xdr:col>0</xdr:col>
          <xdr:colOff>449580</xdr:colOff>
          <xdr:row>30</xdr:row>
          <xdr:rowOff>175260</xdr:rowOff>
        </xdr:to>
        <xdr:sp macro="" textlink="">
          <xdr:nvSpPr>
            <xdr:cNvPr id="1055" name="CheckBox3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31</xdr:row>
          <xdr:rowOff>0</xdr:rowOff>
        </xdr:from>
        <xdr:to>
          <xdr:col>0</xdr:col>
          <xdr:colOff>449580</xdr:colOff>
          <xdr:row>31</xdr:row>
          <xdr:rowOff>175260</xdr:rowOff>
        </xdr:to>
        <xdr:sp macro="" textlink="">
          <xdr:nvSpPr>
            <xdr:cNvPr id="1056" name="CheckBox3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32</xdr:row>
          <xdr:rowOff>0</xdr:rowOff>
        </xdr:from>
        <xdr:to>
          <xdr:col>0</xdr:col>
          <xdr:colOff>449580</xdr:colOff>
          <xdr:row>32</xdr:row>
          <xdr:rowOff>175260</xdr:rowOff>
        </xdr:to>
        <xdr:sp macro="" textlink="">
          <xdr:nvSpPr>
            <xdr:cNvPr id="1057" name="CheckBox3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33</xdr:row>
          <xdr:rowOff>0</xdr:rowOff>
        </xdr:from>
        <xdr:to>
          <xdr:col>0</xdr:col>
          <xdr:colOff>449580</xdr:colOff>
          <xdr:row>33</xdr:row>
          <xdr:rowOff>175260</xdr:rowOff>
        </xdr:to>
        <xdr:sp macro="" textlink="">
          <xdr:nvSpPr>
            <xdr:cNvPr id="1058" name="CheckBox3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34</xdr:row>
          <xdr:rowOff>0</xdr:rowOff>
        </xdr:from>
        <xdr:to>
          <xdr:col>0</xdr:col>
          <xdr:colOff>449580</xdr:colOff>
          <xdr:row>34</xdr:row>
          <xdr:rowOff>175260</xdr:rowOff>
        </xdr:to>
        <xdr:sp macro="" textlink="">
          <xdr:nvSpPr>
            <xdr:cNvPr id="1059" name="CheckBox3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35</xdr:row>
          <xdr:rowOff>0</xdr:rowOff>
        </xdr:from>
        <xdr:to>
          <xdr:col>0</xdr:col>
          <xdr:colOff>449580</xdr:colOff>
          <xdr:row>35</xdr:row>
          <xdr:rowOff>175260</xdr:rowOff>
        </xdr:to>
        <xdr:sp macro="" textlink="">
          <xdr:nvSpPr>
            <xdr:cNvPr id="1060" name="CheckBox3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36</xdr:row>
          <xdr:rowOff>0</xdr:rowOff>
        </xdr:from>
        <xdr:to>
          <xdr:col>0</xdr:col>
          <xdr:colOff>449580</xdr:colOff>
          <xdr:row>36</xdr:row>
          <xdr:rowOff>175260</xdr:rowOff>
        </xdr:to>
        <xdr:sp macro="" textlink="">
          <xdr:nvSpPr>
            <xdr:cNvPr id="1061" name="CheckBox36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37</xdr:row>
          <xdr:rowOff>0</xdr:rowOff>
        </xdr:from>
        <xdr:to>
          <xdr:col>0</xdr:col>
          <xdr:colOff>449580</xdr:colOff>
          <xdr:row>37</xdr:row>
          <xdr:rowOff>175260</xdr:rowOff>
        </xdr:to>
        <xdr:sp macro="" textlink="">
          <xdr:nvSpPr>
            <xdr:cNvPr id="1062" name="CheckBox37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38</xdr:row>
          <xdr:rowOff>0</xdr:rowOff>
        </xdr:from>
        <xdr:to>
          <xdr:col>0</xdr:col>
          <xdr:colOff>449580</xdr:colOff>
          <xdr:row>38</xdr:row>
          <xdr:rowOff>175260</xdr:rowOff>
        </xdr:to>
        <xdr:sp macro="" textlink="">
          <xdr:nvSpPr>
            <xdr:cNvPr id="1063" name="CheckBox38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41</xdr:row>
          <xdr:rowOff>0</xdr:rowOff>
        </xdr:from>
        <xdr:to>
          <xdr:col>0</xdr:col>
          <xdr:colOff>449580</xdr:colOff>
          <xdr:row>42</xdr:row>
          <xdr:rowOff>0</xdr:rowOff>
        </xdr:to>
        <xdr:sp macro="" textlink="">
          <xdr:nvSpPr>
            <xdr:cNvPr id="1066" name="CheckBox4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42</xdr:row>
          <xdr:rowOff>0</xdr:rowOff>
        </xdr:from>
        <xdr:to>
          <xdr:col>0</xdr:col>
          <xdr:colOff>449580</xdr:colOff>
          <xdr:row>43</xdr:row>
          <xdr:rowOff>0</xdr:rowOff>
        </xdr:to>
        <xdr:sp macro="" textlink="">
          <xdr:nvSpPr>
            <xdr:cNvPr id="1067" name="CheckBox4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43</xdr:row>
          <xdr:rowOff>0</xdr:rowOff>
        </xdr:from>
        <xdr:to>
          <xdr:col>0</xdr:col>
          <xdr:colOff>449580</xdr:colOff>
          <xdr:row>43</xdr:row>
          <xdr:rowOff>175260</xdr:rowOff>
        </xdr:to>
        <xdr:sp macro="" textlink="">
          <xdr:nvSpPr>
            <xdr:cNvPr id="1068" name="CheckBox43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44</xdr:row>
          <xdr:rowOff>0</xdr:rowOff>
        </xdr:from>
        <xdr:to>
          <xdr:col>0</xdr:col>
          <xdr:colOff>449580</xdr:colOff>
          <xdr:row>45</xdr:row>
          <xdr:rowOff>0</xdr:rowOff>
        </xdr:to>
        <xdr:sp macro="" textlink="">
          <xdr:nvSpPr>
            <xdr:cNvPr id="1069" name="CheckBox44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45</xdr:row>
          <xdr:rowOff>0</xdr:rowOff>
        </xdr:from>
        <xdr:to>
          <xdr:col>0</xdr:col>
          <xdr:colOff>449580</xdr:colOff>
          <xdr:row>45</xdr:row>
          <xdr:rowOff>175260</xdr:rowOff>
        </xdr:to>
        <xdr:sp macro="" textlink="">
          <xdr:nvSpPr>
            <xdr:cNvPr id="1070" name="CheckBox4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46</xdr:row>
          <xdr:rowOff>0</xdr:rowOff>
        </xdr:from>
        <xdr:to>
          <xdr:col>0</xdr:col>
          <xdr:colOff>449580</xdr:colOff>
          <xdr:row>47</xdr:row>
          <xdr:rowOff>0</xdr:rowOff>
        </xdr:to>
        <xdr:sp macro="" textlink="">
          <xdr:nvSpPr>
            <xdr:cNvPr id="1071" name="CheckBox4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47</xdr:row>
          <xdr:rowOff>0</xdr:rowOff>
        </xdr:from>
        <xdr:to>
          <xdr:col>0</xdr:col>
          <xdr:colOff>449580</xdr:colOff>
          <xdr:row>48</xdr:row>
          <xdr:rowOff>0</xdr:rowOff>
        </xdr:to>
        <xdr:sp macro="" textlink="">
          <xdr:nvSpPr>
            <xdr:cNvPr id="1072" name="CheckBox47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48</xdr:row>
          <xdr:rowOff>0</xdr:rowOff>
        </xdr:from>
        <xdr:to>
          <xdr:col>0</xdr:col>
          <xdr:colOff>449580</xdr:colOff>
          <xdr:row>48</xdr:row>
          <xdr:rowOff>175260</xdr:rowOff>
        </xdr:to>
        <xdr:sp macro="" textlink="">
          <xdr:nvSpPr>
            <xdr:cNvPr id="1073" name="CheckBox48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49</xdr:row>
          <xdr:rowOff>0</xdr:rowOff>
        </xdr:from>
        <xdr:to>
          <xdr:col>0</xdr:col>
          <xdr:colOff>449580</xdr:colOff>
          <xdr:row>50</xdr:row>
          <xdr:rowOff>0</xdr:rowOff>
        </xdr:to>
        <xdr:sp macro="" textlink="">
          <xdr:nvSpPr>
            <xdr:cNvPr id="1074" name="CheckBox49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50</xdr:row>
          <xdr:rowOff>0</xdr:rowOff>
        </xdr:from>
        <xdr:to>
          <xdr:col>0</xdr:col>
          <xdr:colOff>449580</xdr:colOff>
          <xdr:row>50</xdr:row>
          <xdr:rowOff>175260</xdr:rowOff>
        </xdr:to>
        <xdr:sp macro="" textlink="">
          <xdr:nvSpPr>
            <xdr:cNvPr id="1075" name="CheckBox50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51</xdr:row>
          <xdr:rowOff>0</xdr:rowOff>
        </xdr:from>
        <xdr:to>
          <xdr:col>0</xdr:col>
          <xdr:colOff>449580</xdr:colOff>
          <xdr:row>52</xdr:row>
          <xdr:rowOff>0</xdr:rowOff>
        </xdr:to>
        <xdr:sp macro="" textlink="">
          <xdr:nvSpPr>
            <xdr:cNvPr id="1076" name="CheckBox51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52</xdr:row>
          <xdr:rowOff>0</xdr:rowOff>
        </xdr:from>
        <xdr:to>
          <xdr:col>0</xdr:col>
          <xdr:colOff>449580</xdr:colOff>
          <xdr:row>52</xdr:row>
          <xdr:rowOff>175260</xdr:rowOff>
        </xdr:to>
        <xdr:sp macro="" textlink="">
          <xdr:nvSpPr>
            <xdr:cNvPr id="1077" name="CheckBox52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53</xdr:row>
          <xdr:rowOff>0</xdr:rowOff>
        </xdr:from>
        <xdr:to>
          <xdr:col>0</xdr:col>
          <xdr:colOff>449580</xdr:colOff>
          <xdr:row>54</xdr:row>
          <xdr:rowOff>0</xdr:rowOff>
        </xdr:to>
        <xdr:sp macro="" textlink="">
          <xdr:nvSpPr>
            <xdr:cNvPr id="1078" name="CheckBox53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54</xdr:row>
          <xdr:rowOff>0</xdr:rowOff>
        </xdr:from>
        <xdr:to>
          <xdr:col>0</xdr:col>
          <xdr:colOff>449580</xdr:colOff>
          <xdr:row>54</xdr:row>
          <xdr:rowOff>175260</xdr:rowOff>
        </xdr:to>
        <xdr:sp macro="" textlink="">
          <xdr:nvSpPr>
            <xdr:cNvPr id="1079" name="CheckBox5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55</xdr:row>
          <xdr:rowOff>0</xdr:rowOff>
        </xdr:from>
        <xdr:to>
          <xdr:col>0</xdr:col>
          <xdr:colOff>449580</xdr:colOff>
          <xdr:row>56</xdr:row>
          <xdr:rowOff>0</xdr:rowOff>
        </xdr:to>
        <xdr:sp macro="" textlink="">
          <xdr:nvSpPr>
            <xdr:cNvPr id="1080" name="CheckBox5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56</xdr:row>
          <xdr:rowOff>0</xdr:rowOff>
        </xdr:from>
        <xdr:to>
          <xdr:col>0</xdr:col>
          <xdr:colOff>449580</xdr:colOff>
          <xdr:row>56</xdr:row>
          <xdr:rowOff>175260</xdr:rowOff>
        </xdr:to>
        <xdr:sp macro="" textlink="">
          <xdr:nvSpPr>
            <xdr:cNvPr id="1081" name="CheckBox56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57</xdr:row>
          <xdr:rowOff>0</xdr:rowOff>
        </xdr:from>
        <xdr:to>
          <xdr:col>0</xdr:col>
          <xdr:colOff>449580</xdr:colOff>
          <xdr:row>57</xdr:row>
          <xdr:rowOff>175260</xdr:rowOff>
        </xdr:to>
        <xdr:sp macro="" textlink="">
          <xdr:nvSpPr>
            <xdr:cNvPr id="1082" name="CheckBox57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58</xdr:row>
          <xdr:rowOff>0</xdr:rowOff>
        </xdr:from>
        <xdr:to>
          <xdr:col>0</xdr:col>
          <xdr:colOff>449580</xdr:colOff>
          <xdr:row>59</xdr:row>
          <xdr:rowOff>0</xdr:rowOff>
        </xdr:to>
        <xdr:sp macro="" textlink="">
          <xdr:nvSpPr>
            <xdr:cNvPr id="1083" name="CheckBox58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59</xdr:row>
          <xdr:rowOff>0</xdr:rowOff>
        </xdr:from>
        <xdr:to>
          <xdr:col>0</xdr:col>
          <xdr:colOff>449580</xdr:colOff>
          <xdr:row>60</xdr:row>
          <xdr:rowOff>0</xdr:rowOff>
        </xdr:to>
        <xdr:sp macro="" textlink="">
          <xdr:nvSpPr>
            <xdr:cNvPr id="1084" name="CheckBox59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60</xdr:row>
          <xdr:rowOff>0</xdr:rowOff>
        </xdr:from>
        <xdr:to>
          <xdr:col>0</xdr:col>
          <xdr:colOff>449580</xdr:colOff>
          <xdr:row>61</xdr:row>
          <xdr:rowOff>0</xdr:rowOff>
        </xdr:to>
        <xdr:sp macro="" textlink="">
          <xdr:nvSpPr>
            <xdr:cNvPr id="1085" name="CheckBox60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61</xdr:row>
          <xdr:rowOff>0</xdr:rowOff>
        </xdr:from>
        <xdr:to>
          <xdr:col>0</xdr:col>
          <xdr:colOff>449580</xdr:colOff>
          <xdr:row>62</xdr:row>
          <xdr:rowOff>0</xdr:rowOff>
        </xdr:to>
        <xdr:sp macro="" textlink="">
          <xdr:nvSpPr>
            <xdr:cNvPr id="1086" name="CheckBox61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62</xdr:row>
          <xdr:rowOff>0</xdr:rowOff>
        </xdr:from>
        <xdr:to>
          <xdr:col>0</xdr:col>
          <xdr:colOff>449580</xdr:colOff>
          <xdr:row>63</xdr:row>
          <xdr:rowOff>0</xdr:rowOff>
        </xdr:to>
        <xdr:sp macro="" textlink="">
          <xdr:nvSpPr>
            <xdr:cNvPr id="1087" name="CheckBox62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63</xdr:row>
          <xdr:rowOff>0</xdr:rowOff>
        </xdr:from>
        <xdr:to>
          <xdr:col>0</xdr:col>
          <xdr:colOff>449580</xdr:colOff>
          <xdr:row>64</xdr:row>
          <xdr:rowOff>0</xdr:rowOff>
        </xdr:to>
        <xdr:sp macro="" textlink="">
          <xdr:nvSpPr>
            <xdr:cNvPr id="1088" name="CheckBox6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64</xdr:row>
          <xdr:rowOff>0</xdr:rowOff>
        </xdr:from>
        <xdr:to>
          <xdr:col>0</xdr:col>
          <xdr:colOff>449580</xdr:colOff>
          <xdr:row>64</xdr:row>
          <xdr:rowOff>175260</xdr:rowOff>
        </xdr:to>
        <xdr:sp macro="" textlink="">
          <xdr:nvSpPr>
            <xdr:cNvPr id="1089" name="CheckBox64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65</xdr:row>
          <xdr:rowOff>0</xdr:rowOff>
        </xdr:from>
        <xdr:to>
          <xdr:col>0</xdr:col>
          <xdr:colOff>449580</xdr:colOff>
          <xdr:row>65</xdr:row>
          <xdr:rowOff>175260</xdr:rowOff>
        </xdr:to>
        <xdr:sp macro="" textlink="">
          <xdr:nvSpPr>
            <xdr:cNvPr id="1090" name="CheckBox6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66</xdr:row>
          <xdr:rowOff>0</xdr:rowOff>
        </xdr:from>
        <xdr:to>
          <xdr:col>0</xdr:col>
          <xdr:colOff>449580</xdr:colOff>
          <xdr:row>67</xdr:row>
          <xdr:rowOff>0</xdr:rowOff>
        </xdr:to>
        <xdr:sp macro="" textlink="">
          <xdr:nvSpPr>
            <xdr:cNvPr id="1091" name="CheckBox66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67</xdr:row>
          <xdr:rowOff>0</xdr:rowOff>
        </xdr:from>
        <xdr:to>
          <xdr:col>0</xdr:col>
          <xdr:colOff>449580</xdr:colOff>
          <xdr:row>68</xdr:row>
          <xdr:rowOff>0</xdr:rowOff>
        </xdr:to>
        <xdr:sp macro="" textlink="">
          <xdr:nvSpPr>
            <xdr:cNvPr id="1092" name="CheckBox67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68</xdr:row>
          <xdr:rowOff>0</xdr:rowOff>
        </xdr:from>
        <xdr:to>
          <xdr:col>0</xdr:col>
          <xdr:colOff>449580</xdr:colOff>
          <xdr:row>68</xdr:row>
          <xdr:rowOff>175260</xdr:rowOff>
        </xdr:to>
        <xdr:sp macro="" textlink="">
          <xdr:nvSpPr>
            <xdr:cNvPr id="1093" name="CheckBox6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69</xdr:row>
          <xdr:rowOff>0</xdr:rowOff>
        </xdr:from>
        <xdr:to>
          <xdr:col>0</xdr:col>
          <xdr:colOff>449580</xdr:colOff>
          <xdr:row>70</xdr:row>
          <xdr:rowOff>0</xdr:rowOff>
        </xdr:to>
        <xdr:sp macro="" textlink="">
          <xdr:nvSpPr>
            <xdr:cNvPr id="1094" name="CheckBox69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70</xdr:row>
          <xdr:rowOff>0</xdr:rowOff>
        </xdr:from>
        <xdr:to>
          <xdr:col>0</xdr:col>
          <xdr:colOff>449580</xdr:colOff>
          <xdr:row>70</xdr:row>
          <xdr:rowOff>175260</xdr:rowOff>
        </xdr:to>
        <xdr:sp macro="" textlink="">
          <xdr:nvSpPr>
            <xdr:cNvPr id="1095" name="CheckBox70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71</xdr:row>
          <xdr:rowOff>0</xdr:rowOff>
        </xdr:from>
        <xdr:to>
          <xdr:col>0</xdr:col>
          <xdr:colOff>449580</xdr:colOff>
          <xdr:row>72</xdr:row>
          <xdr:rowOff>0</xdr:rowOff>
        </xdr:to>
        <xdr:sp macro="" textlink="">
          <xdr:nvSpPr>
            <xdr:cNvPr id="1096" name="CheckBox71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72</xdr:row>
          <xdr:rowOff>0</xdr:rowOff>
        </xdr:from>
        <xdr:to>
          <xdr:col>0</xdr:col>
          <xdr:colOff>449580</xdr:colOff>
          <xdr:row>72</xdr:row>
          <xdr:rowOff>175260</xdr:rowOff>
        </xdr:to>
        <xdr:sp macro="" textlink="">
          <xdr:nvSpPr>
            <xdr:cNvPr id="1097" name="CheckBox72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73</xdr:row>
          <xdr:rowOff>0</xdr:rowOff>
        </xdr:from>
        <xdr:to>
          <xdr:col>0</xdr:col>
          <xdr:colOff>449580</xdr:colOff>
          <xdr:row>74</xdr:row>
          <xdr:rowOff>0</xdr:rowOff>
        </xdr:to>
        <xdr:sp macro="" textlink="">
          <xdr:nvSpPr>
            <xdr:cNvPr id="1098" name="CheckBox73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74</xdr:row>
          <xdr:rowOff>0</xdr:rowOff>
        </xdr:from>
        <xdr:to>
          <xdr:col>0</xdr:col>
          <xdr:colOff>449580</xdr:colOff>
          <xdr:row>75</xdr:row>
          <xdr:rowOff>0</xdr:rowOff>
        </xdr:to>
        <xdr:sp macro="" textlink="">
          <xdr:nvSpPr>
            <xdr:cNvPr id="1099" name="CheckBox74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75</xdr:row>
          <xdr:rowOff>0</xdr:rowOff>
        </xdr:from>
        <xdr:to>
          <xdr:col>0</xdr:col>
          <xdr:colOff>449580</xdr:colOff>
          <xdr:row>75</xdr:row>
          <xdr:rowOff>175260</xdr:rowOff>
        </xdr:to>
        <xdr:sp macro="" textlink="">
          <xdr:nvSpPr>
            <xdr:cNvPr id="1100" name="CheckBox7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76</xdr:row>
          <xdr:rowOff>0</xdr:rowOff>
        </xdr:from>
        <xdr:to>
          <xdr:col>0</xdr:col>
          <xdr:colOff>449580</xdr:colOff>
          <xdr:row>77</xdr:row>
          <xdr:rowOff>0</xdr:rowOff>
        </xdr:to>
        <xdr:sp macro="" textlink="">
          <xdr:nvSpPr>
            <xdr:cNvPr id="1101" name="CheckBox76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78</xdr:row>
          <xdr:rowOff>0</xdr:rowOff>
        </xdr:from>
        <xdr:to>
          <xdr:col>0</xdr:col>
          <xdr:colOff>449580</xdr:colOff>
          <xdr:row>79</xdr:row>
          <xdr:rowOff>0</xdr:rowOff>
        </xdr:to>
        <xdr:sp macro="" textlink="">
          <xdr:nvSpPr>
            <xdr:cNvPr id="1103" name="CheckBox7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79</xdr:row>
          <xdr:rowOff>0</xdr:rowOff>
        </xdr:from>
        <xdr:to>
          <xdr:col>0</xdr:col>
          <xdr:colOff>449580</xdr:colOff>
          <xdr:row>80</xdr:row>
          <xdr:rowOff>0</xdr:rowOff>
        </xdr:to>
        <xdr:sp macro="" textlink="">
          <xdr:nvSpPr>
            <xdr:cNvPr id="1104" name="CheckBox79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80</xdr:row>
          <xdr:rowOff>0</xdr:rowOff>
        </xdr:from>
        <xdr:to>
          <xdr:col>0</xdr:col>
          <xdr:colOff>449580</xdr:colOff>
          <xdr:row>80</xdr:row>
          <xdr:rowOff>175260</xdr:rowOff>
        </xdr:to>
        <xdr:sp macro="" textlink="">
          <xdr:nvSpPr>
            <xdr:cNvPr id="1105" name="CheckBox80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81</xdr:row>
          <xdr:rowOff>0</xdr:rowOff>
        </xdr:from>
        <xdr:to>
          <xdr:col>0</xdr:col>
          <xdr:colOff>449580</xdr:colOff>
          <xdr:row>81</xdr:row>
          <xdr:rowOff>175260</xdr:rowOff>
        </xdr:to>
        <xdr:sp macro="" textlink="">
          <xdr:nvSpPr>
            <xdr:cNvPr id="1106" name="CheckBox81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82</xdr:row>
          <xdr:rowOff>0</xdr:rowOff>
        </xdr:from>
        <xdr:to>
          <xdr:col>0</xdr:col>
          <xdr:colOff>449580</xdr:colOff>
          <xdr:row>82</xdr:row>
          <xdr:rowOff>175260</xdr:rowOff>
        </xdr:to>
        <xdr:sp macro="" textlink="">
          <xdr:nvSpPr>
            <xdr:cNvPr id="1107" name="CheckBox82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83</xdr:row>
          <xdr:rowOff>0</xdr:rowOff>
        </xdr:from>
        <xdr:to>
          <xdr:col>0</xdr:col>
          <xdr:colOff>449580</xdr:colOff>
          <xdr:row>83</xdr:row>
          <xdr:rowOff>175260</xdr:rowOff>
        </xdr:to>
        <xdr:sp macro="" textlink="">
          <xdr:nvSpPr>
            <xdr:cNvPr id="1108" name="CheckBox83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84</xdr:row>
          <xdr:rowOff>0</xdr:rowOff>
        </xdr:from>
        <xdr:to>
          <xdr:col>0</xdr:col>
          <xdr:colOff>449580</xdr:colOff>
          <xdr:row>84</xdr:row>
          <xdr:rowOff>175260</xdr:rowOff>
        </xdr:to>
        <xdr:sp macro="" textlink="">
          <xdr:nvSpPr>
            <xdr:cNvPr id="1109" name="CheckBox84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85</xdr:row>
          <xdr:rowOff>0</xdr:rowOff>
        </xdr:from>
        <xdr:to>
          <xdr:col>0</xdr:col>
          <xdr:colOff>449580</xdr:colOff>
          <xdr:row>85</xdr:row>
          <xdr:rowOff>175260</xdr:rowOff>
        </xdr:to>
        <xdr:sp macro="" textlink="">
          <xdr:nvSpPr>
            <xdr:cNvPr id="1110" name="CheckBox8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86</xdr:row>
          <xdr:rowOff>0</xdr:rowOff>
        </xdr:from>
        <xdr:to>
          <xdr:col>0</xdr:col>
          <xdr:colOff>449580</xdr:colOff>
          <xdr:row>86</xdr:row>
          <xdr:rowOff>175260</xdr:rowOff>
        </xdr:to>
        <xdr:sp macro="" textlink="">
          <xdr:nvSpPr>
            <xdr:cNvPr id="1111" name="CheckBox86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87</xdr:row>
          <xdr:rowOff>0</xdr:rowOff>
        </xdr:from>
        <xdr:to>
          <xdr:col>0</xdr:col>
          <xdr:colOff>449580</xdr:colOff>
          <xdr:row>87</xdr:row>
          <xdr:rowOff>175260</xdr:rowOff>
        </xdr:to>
        <xdr:sp macro="" textlink="">
          <xdr:nvSpPr>
            <xdr:cNvPr id="1112" name="CheckBox87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88</xdr:row>
          <xdr:rowOff>0</xdr:rowOff>
        </xdr:from>
        <xdr:to>
          <xdr:col>0</xdr:col>
          <xdr:colOff>449580</xdr:colOff>
          <xdr:row>88</xdr:row>
          <xdr:rowOff>175260</xdr:rowOff>
        </xdr:to>
        <xdr:sp macro="" textlink="">
          <xdr:nvSpPr>
            <xdr:cNvPr id="1113" name="CheckBox88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89</xdr:row>
          <xdr:rowOff>0</xdr:rowOff>
        </xdr:from>
        <xdr:to>
          <xdr:col>0</xdr:col>
          <xdr:colOff>449580</xdr:colOff>
          <xdr:row>89</xdr:row>
          <xdr:rowOff>175260</xdr:rowOff>
        </xdr:to>
        <xdr:sp macro="" textlink="">
          <xdr:nvSpPr>
            <xdr:cNvPr id="1114" name="CheckBox89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92</xdr:row>
          <xdr:rowOff>0</xdr:rowOff>
        </xdr:from>
        <xdr:to>
          <xdr:col>0</xdr:col>
          <xdr:colOff>449580</xdr:colOff>
          <xdr:row>92</xdr:row>
          <xdr:rowOff>175260</xdr:rowOff>
        </xdr:to>
        <xdr:sp macro="" textlink="">
          <xdr:nvSpPr>
            <xdr:cNvPr id="1117" name="CheckBox92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93</xdr:row>
          <xdr:rowOff>0</xdr:rowOff>
        </xdr:from>
        <xdr:to>
          <xdr:col>0</xdr:col>
          <xdr:colOff>449580</xdr:colOff>
          <xdr:row>93</xdr:row>
          <xdr:rowOff>175260</xdr:rowOff>
        </xdr:to>
        <xdr:sp macro="" textlink="">
          <xdr:nvSpPr>
            <xdr:cNvPr id="1118" name="CheckBox93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94</xdr:row>
          <xdr:rowOff>0</xdr:rowOff>
        </xdr:from>
        <xdr:to>
          <xdr:col>0</xdr:col>
          <xdr:colOff>449580</xdr:colOff>
          <xdr:row>94</xdr:row>
          <xdr:rowOff>175260</xdr:rowOff>
        </xdr:to>
        <xdr:sp macro="" textlink="">
          <xdr:nvSpPr>
            <xdr:cNvPr id="1119" name="CheckBox94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95</xdr:row>
          <xdr:rowOff>0</xdr:rowOff>
        </xdr:from>
        <xdr:to>
          <xdr:col>0</xdr:col>
          <xdr:colOff>449580</xdr:colOff>
          <xdr:row>96</xdr:row>
          <xdr:rowOff>0</xdr:rowOff>
        </xdr:to>
        <xdr:sp macro="" textlink="">
          <xdr:nvSpPr>
            <xdr:cNvPr id="1120" name="CheckBox9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96</xdr:row>
          <xdr:rowOff>0</xdr:rowOff>
        </xdr:from>
        <xdr:to>
          <xdr:col>0</xdr:col>
          <xdr:colOff>449580</xdr:colOff>
          <xdr:row>97</xdr:row>
          <xdr:rowOff>0</xdr:rowOff>
        </xdr:to>
        <xdr:sp macro="" textlink="">
          <xdr:nvSpPr>
            <xdr:cNvPr id="1121" name="CheckBox96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97</xdr:row>
          <xdr:rowOff>0</xdr:rowOff>
        </xdr:from>
        <xdr:to>
          <xdr:col>0</xdr:col>
          <xdr:colOff>449580</xdr:colOff>
          <xdr:row>97</xdr:row>
          <xdr:rowOff>175260</xdr:rowOff>
        </xdr:to>
        <xdr:sp macro="" textlink="">
          <xdr:nvSpPr>
            <xdr:cNvPr id="1122" name="CheckBox97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98</xdr:row>
          <xdr:rowOff>0</xdr:rowOff>
        </xdr:from>
        <xdr:to>
          <xdr:col>0</xdr:col>
          <xdr:colOff>449580</xdr:colOff>
          <xdr:row>99</xdr:row>
          <xdr:rowOff>0</xdr:rowOff>
        </xdr:to>
        <xdr:sp macro="" textlink="">
          <xdr:nvSpPr>
            <xdr:cNvPr id="1123" name="CheckBox98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99</xdr:row>
          <xdr:rowOff>0</xdr:rowOff>
        </xdr:from>
        <xdr:to>
          <xdr:col>0</xdr:col>
          <xdr:colOff>449580</xdr:colOff>
          <xdr:row>100</xdr:row>
          <xdr:rowOff>0</xdr:rowOff>
        </xdr:to>
        <xdr:sp macro="" textlink="">
          <xdr:nvSpPr>
            <xdr:cNvPr id="1124" name="CheckBox99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100</xdr:row>
          <xdr:rowOff>0</xdr:rowOff>
        </xdr:from>
        <xdr:to>
          <xdr:col>0</xdr:col>
          <xdr:colOff>449580</xdr:colOff>
          <xdr:row>100</xdr:row>
          <xdr:rowOff>175260</xdr:rowOff>
        </xdr:to>
        <xdr:sp macro="" textlink="">
          <xdr:nvSpPr>
            <xdr:cNvPr id="1125" name="CheckBox100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101</xdr:row>
          <xdr:rowOff>0</xdr:rowOff>
        </xdr:from>
        <xdr:to>
          <xdr:col>0</xdr:col>
          <xdr:colOff>449580</xdr:colOff>
          <xdr:row>102</xdr:row>
          <xdr:rowOff>0</xdr:rowOff>
        </xdr:to>
        <xdr:sp macro="" textlink="">
          <xdr:nvSpPr>
            <xdr:cNvPr id="1126" name="CheckBox101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102</xdr:row>
          <xdr:rowOff>0</xdr:rowOff>
        </xdr:from>
        <xdr:to>
          <xdr:col>0</xdr:col>
          <xdr:colOff>449580</xdr:colOff>
          <xdr:row>102</xdr:row>
          <xdr:rowOff>175260</xdr:rowOff>
        </xdr:to>
        <xdr:sp macro="" textlink="">
          <xdr:nvSpPr>
            <xdr:cNvPr id="1127" name="CheckBox102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103</xdr:row>
          <xdr:rowOff>0</xdr:rowOff>
        </xdr:from>
        <xdr:to>
          <xdr:col>0</xdr:col>
          <xdr:colOff>449580</xdr:colOff>
          <xdr:row>104</xdr:row>
          <xdr:rowOff>0</xdr:rowOff>
        </xdr:to>
        <xdr:sp macro="" textlink="">
          <xdr:nvSpPr>
            <xdr:cNvPr id="1128" name="CheckBox103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106</xdr:row>
          <xdr:rowOff>0</xdr:rowOff>
        </xdr:from>
        <xdr:to>
          <xdr:col>0</xdr:col>
          <xdr:colOff>449580</xdr:colOff>
          <xdr:row>107</xdr:row>
          <xdr:rowOff>0</xdr:rowOff>
        </xdr:to>
        <xdr:sp macro="" textlink="">
          <xdr:nvSpPr>
            <xdr:cNvPr id="1131" name="CheckBox106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107</xdr:row>
          <xdr:rowOff>0</xdr:rowOff>
        </xdr:from>
        <xdr:to>
          <xdr:col>0</xdr:col>
          <xdr:colOff>449580</xdr:colOff>
          <xdr:row>107</xdr:row>
          <xdr:rowOff>175260</xdr:rowOff>
        </xdr:to>
        <xdr:sp macro="" textlink="">
          <xdr:nvSpPr>
            <xdr:cNvPr id="1132" name="CheckBox107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108</xdr:row>
          <xdr:rowOff>0</xdr:rowOff>
        </xdr:from>
        <xdr:to>
          <xdr:col>0</xdr:col>
          <xdr:colOff>449580</xdr:colOff>
          <xdr:row>109</xdr:row>
          <xdr:rowOff>0</xdr:rowOff>
        </xdr:to>
        <xdr:sp macro="" textlink="">
          <xdr:nvSpPr>
            <xdr:cNvPr id="1133" name="CheckBox108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109</xdr:row>
          <xdr:rowOff>0</xdr:rowOff>
        </xdr:from>
        <xdr:to>
          <xdr:col>0</xdr:col>
          <xdr:colOff>449580</xdr:colOff>
          <xdr:row>110</xdr:row>
          <xdr:rowOff>0</xdr:rowOff>
        </xdr:to>
        <xdr:sp macro="" textlink="">
          <xdr:nvSpPr>
            <xdr:cNvPr id="1134" name="CheckBox109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110</xdr:row>
          <xdr:rowOff>0</xdr:rowOff>
        </xdr:from>
        <xdr:to>
          <xdr:col>0</xdr:col>
          <xdr:colOff>449580</xdr:colOff>
          <xdr:row>110</xdr:row>
          <xdr:rowOff>175260</xdr:rowOff>
        </xdr:to>
        <xdr:sp macro="" textlink="">
          <xdr:nvSpPr>
            <xdr:cNvPr id="1135" name="CheckBox110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111</xdr:row>
          <xdr:rowOff>0</xdr:rowOff>
        </xdr:from>
        <xdr:to>
          <xdr:col>0</xdr:col>
          <xdr:colOff>449580</xdr:colOff>
          <xdr:row>112</xdr:row>
          <xdr:rowOff>0</xdr:rowOff>
        </xdr:to>
        <xdr:sp macro="" textlink="">
          <xdr:nvSpPr>
            <xdr:cNvPr id="1136" name="CheckBox111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112</xdr:row>
          <xdr:rowOff>0</xdr:rowOff>
        </xdr:from>
        <xdr:to>
          <xdr:col>0</xdr:col>
          <xdr:colOff>449580</xdr:colOff>
          <xdr:row>113</xdr:row>
          <xdr:rowOff>0</xdr:rowOff>
        </xdr:to>
        <xdr:sp macro="" textlink="">
          <xdr:nvSpPr>
            <xdr:cNvPr id="1137" name="CheckBox11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113</xdr:row>
          <xdr:rowOff>0</xdr:rowOff>
        </xdr:from>
        <xdr:to>
          <xdr:col>0</xdr:col>
          <xdr:colOff>449580</xdr:colOff>
          <xdr:row>113</xdr:row>
          <xdr:rowOff>175260</xdr:rowOff>
        </xdr:to>
        <xdr:sp macro="" textlink="">
          <xdr:nvSpPr>
            <xdr:cNvPr id="1138" name="CheckBox113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114</xdr:row>
          <xdr:rowOff>0</xdr:rowOff>
        </xdr:from>
        <xdr:to>
          <xdr:col>0</xdr:col>
          <xdr:colOff>449580</xdr:colOff>
          <xdr:row>115</xdr:row>
          <xdr:rowOff>0</xdr:rowOff>
        </xdr:to>
        <xdr:sp macro="" textlink="">
          <xdr:nvSpPr>
            <xdr:cNvPr id="1139" name="CheckBox114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115</xdr:row>
          <xdr:rowOff>0</xdr:rowOff>
        </xdr:from>
        <xdr:to>
          <xdr:col>0</xdr:col>
          <xdr:colOff>449580</xdr:colOff>
          <xdr:row>116</xdr:row>
          <xdr:rowOff>0</xdr:rowOff>
        </xdr:to>
        <xdr:sp macro="" textlink="">
          <xdr:nvSpPr>
            <xdr:cNvPr id="1140" name="CheckBox11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116</xdr:row>
          <xdr:rowOff>0</xdr:rowOff>
        </xdr:from>
        <xdr:to>
          <xdr:col>0</xdr:col>
          <xdr:colOff>449580</xdr:colOff>
          <xdr:row>117</xdr:row>
          <xdr:rowOff>0</xdr:rowOff>
        </xdr:to>
        <xdr:sp macro="" textlink="">
          <xdr:nvSpPr>
            <xdr:cNvPr id="1141" name="CheckBox116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117</xdr:row>
          <xdr:rowOff>0</xdr:rowOff>
        </xdr:from>
        <xdr:to>
          <xdr:col>0</xdr:col>
          <xdr:colOff>449580</xdr:colOff>
          <xdr:row>118</xdr:row>
          <xdr:rowOff>0</xdr:rowOff>
        </xdr:to>
        <xdr:sp macro="" textlink="">
          <xdr:nvSpPr>
            <xdr:cNvPr id="1142" name="CheckBox11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118</xdr:row>
          <xdr:rowOff>0</xdr:rowOff>
        </xdr:from>
        <xdr:to>
          <xdr:col>0</xdr:col>
          <xdr:colOff>449580</xdr:colOff>
          <xdr:row>119</xdr:row>
          <xdr:rowOff>0</xdr:rowOff>
        </xdr:to>
        <xdr:sp macro="" textlink="">
          <xdr:nvSpPr>
            <xdr:cNvPr id="1143" name="CheckBox118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119</xdr:row>
          <xdr:rowOff>0</xdr:rowOff>
        </xdr:from>
        <xdr:to>
          <xdr:col>0</xdr:col>
          <xdr:colOff>449580</xdr:colOff>
          <xdr:row>120</xdr:row>
          <xdr:rowOff>0</xdr:rowOff>
        </xdr:to>
        <xdr:sp macro="" textlink="">
          <xdr:nvSpPr>
            <xdr:cNvPr id="1144" name="CheckBox119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120</xdr:row>
          <xdr:rowOff>0</xdr:rowOff>
        </xdr:from>
        <xdr:to>
          <xdr:col>0</xdr:col>
          <xdr:colOff>449580</xdr:colOff>
          <xdr:row>121</xdr:row>
          <xdr:rowOff>0</xdr:rowOff>
        </xdr:to>
        <xdr:sp macro="" textlink="">
          <xdr:nvSpPr>
            <xdr:cNvPr id="1145" name="CheckBox120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121</xdr:row>
          <xdr:rowOff>0</xdr:rowOff>
        </xdr:from>
        <xdr:to>
          <xdr:col>0</xdr:col>
          <xdr:colOff>449580</xdr:colOff>
          <xdr:row>122</xdr:row>
          <xdr:rowOff>0</xdr:rowOff>
        </xdr:to>
        <xdr:sp macro="" textlink="">
          <xdr:nvSpPr>
            <xdr:cNvPr id="1146" name="CheckBox121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122</xdr:row>
          <xdr:rowOff>0</xdr:rowOff>
        </xdr:from>
        <xdr:to>
          <xdr:col>0</xdr:col>
          <xdr:colOff>449580</xdr:colOff>
          <xdr:row>122</xdr:row>
          <xdr:rowOff>175260</xdr:rowOff>
        </xdr:to>
        <xdr:sp macro="" textlink="">
          <xdr:nvSpPr>
            <xdr:cNvPr id="1147" name="CheckBox122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123</xdr:row>
          <xdr:rowOff>0</xdr:rowOff>
        </xdr:from>
        <xdr:to>
          <xdr:col>0</xdr:col>
          <xdr:colOff>449580</xdr:colOff>
          <xdr:row>124</xdr:row>
          <xdr:rowOff>0</xdr:rowOff>
        </xdr:to>
        <xdr:sp macro="" textlink="">
          <xdr:nvSpPr>
            <xdr:cNvPr id="1148" name="CheckBox123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124</xdr:row>
          <xdr:rowOff>0</xdr:rowOff>
        </xdr:from>
        <xdr:to>
          <xdr:col>0</xdr:col>
          <xdr:colOff>449580</xdr:colOff>
          <xdr:row>124</xdr:row>
          <xdr:rowOff>175260</xdr:rowOff>
        </xdr:to>
        <xdr:sp macro="" textlink="">
          <xdr:nvSpPr>
            <xdr:cNvPr id="1149" name="CheckBox124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125</xdr:row>
          <xdr:rowOff>0</xdr:rowOff>
        </xdr:from>
        <xdr:to>
          <xdr:col>0</xdr:col>
          <xdr:colOff>449580</xdr:colOff>
          <xdr:row>126</xdr:row>
          <xdr:rowOff>0</xdr:rowOff>
        </xdr:to>
        <xdr:sp macro="" textlink="">
          <xdr:nvSpPr>
            <xdr:cNvPr id="1150" name="CheckBox12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126</xdr:row>
          <xdr:rowOff>0</xdr:rowOff>
        </xdr:from>
        <xdr:to>
          <xdr:col>0</xdr:col>
          <xdr:colOff>449580</xdr:colOff>
          <xdr:row>127</xdr:row>
          <xdr:rowOff>0</xdr:rowOff>
        </xdr:to>
        <xdr:sp macro="" textlink="">
          <xdr:nvSpPr>
            <xdr:cNvPr id="1151" name="CheckBox126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127</xdr:row>
          <xdr:rowOff>0</xdr:rowOff>
        </xdr:from>
        <xdr:to>
          <xdr:col>0</xdr:col>
          <xdr:colOff>449580</xdr:colOff>
          <xdr:row>127</xdr:row>
          <xdr:rowOff>175260</xdr:rowOff>
        </xdr:to>
        <xdr:sp macro="" textlink="">
          <xdr:nvSpPr>
            <xdr:cNvPr id="1152" name="CheckBox127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128</xdr:row>
          <xdr:rowOff>0</xdr:rowOff>
        </xdr:from>
        <xdr:to>
          <xdr:col>0</xdr:col>
          <xdr:colOff>449580</xdr:colOff>
          <xdr:row>129</xdr:row>
          <xdr:rowOff>0</xdr:rowOff>
        </xdr:to>
        <xdr:sp macro="" textlink="">
          <xdr:nvSpPr>
            <xdr:cNvPr id="1153" name="CheckBox128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129</xdr:row>
          <xdr:rowOff>0</xdr:rowOff>
        </xdr:from>
        <xdr:to>
          <xdr:col>0</xdr:col>
          <xdr:colOff>449580</xdr:colOff>
          <xdr:row>130</xdr:row>
          <xdr:rowOff>0</xdr:rowOff>
        </xdr:to>
        <xdr:sp macro="" textlink="">
          <xdr:nvSpPr>
            <xdr:cNvPr id="1154" name="CheckBox129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130</xdr:row>
          <xdr:rowOff>0</xdr:rowOff>
        </xdr:from>
        <xdr:to>
          <xdr:col>0</xdr:col>
          <xdr:colOff>449580</xdr:colOff>
          <xdr:row>131</xdr:row>
          <xdr:rowOff>0</xdr:rowOff>
        </xdr:to>
        <xdr:sp macro="" textlink="">
          <xdr:nvSpPr>
            <xdr:cNvPr id="1155" name="CheckBox130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131</xdr:row>
          <xdr:rowOff>0</xdr:rowOff>
        </xdr:from>
        <xdr:to>
          <xdr:col>0</xdr:col>
          <xdr:colOff>449580</xdr:colOff>
          <xdr:row>132</xdr:row>
          <xdr:rowOff>0</xdr:rowOff>
        </xdr:to>
        <xdr:sp macro="" textlink="">
          <xdr:nvSpPr>
            <xdr:cNvPr id="1156" name="CheckBox131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132</xdr:row>
          <xdr:rowOff>0</xdr:rowOff>
        </xdr:from>
        <xdr:to>
          <xdr:col>0</xdr:col>
          <xdr:colOff>449580</xdr:colOff>
          <xdr:row>133</xdr:row>
          <xdr:rowOff>0</xdr:rowOff>
        </xdr:to>
        <xdr:sp macro="" textlink="">
          <xdr:nvSpPr>
            <xdr:cNvPr id="1157" name="CheckBox132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133</xdr:row>
          <xdr:rowOff>0</xdr:rowOff>
        </xdr:from>
        <xdr:to>
          <xdr:col>0</xdr:col>
          <xdr:colOff>449580</xdr:colOff>
          <xdr:row>133</xdr:row>
          <xdr:rowOff>175260</xdr:rowOff>
        </xdr:to>
        <xdr:sp macro="" textlink="">
          <xdr:nvSpPr>
            <xdr:cNvPr id="1158" name="CheckBox133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134</xdr:row>
          <xdr:rowOff>0</xdr:rowOff>
        </xdr:from>
        <xdr:to>
          <xdr:col>0</xdr:col>
          <xdr:colOff>449580</xdr:colOff>
          <xdr:row>134</xdr:row>
          <xdr:rowOff>175260</xdr:rowOff>
        </xdr:to>
        <xdr:sp macro="" textlink="">
          <xdr:nvSpPr>
            <xdr:cNvPr id="1159" name="CheckBox134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135</xdr:row>
          <xdr:rowOff>0</xdr:rowOff>
        </xdr:from>
        <xdr:to>
          <xdr:col>0</xdr:col>
          <xdr:colOff>449580</xdr:colOff>
          <xdr:row>135</xdr:row>
          <xdr:rowOff>175260</xdr:rowOff>
        </xdr:to>
        <xdr:sp macro="" textlink="">
          <xdr:nvSpPr>
            <xdr:cNvPr id="1160" name="CheckBox13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136</xdr:row>
          <xdr:rowOff>0</xdr:rowOff>
        </xdr:from>
        <xdr:to>
          <xdr:col>0</xdr:col>
          <xdr:colOff>449580</xdr:colOff>
          <xdr:row>136</xdr:row>
          <xdr:rowOff>175260</xdr:rowOff>
        </xdr:to>
        <xdr:sp macro="" textlink="">
          <xdr:nvSpPr>
            <xdr:cNvPr id="1161" name="CheckBox136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137</xdr:row>
          <xdr:rowOff>0</xdr:rowOff>
        </xdr:from>
        <xdr:to>
          <xdr:col>0</xdr:col>
          <xdr:colOff>449580</xdr:colOff>
          <xdr:row>137</xdr:row>
          <xdr:rowOff>175260</xdr:rowOff>
        </xdr:to>
        <xdr:sp macro="" textlink="">
          <xdr:nvSpPr>
            <xdr:cNvPr id="1162" name="CheckBox137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138</xdr:row>
          <xdr:rowOff>0</xdr:rowOff>
        </xdr:from>
        <xdr:to>
          <xdr:col>0</xdr:col>
          <xdr:colOff>449580</xdr:colOff>
          <xdr:row>138</xdr:row>
          <xdr:rowOff>175260</xdr:rowOff>
        </xdr:to>
        <xdr:sp macro="" textlink="">
          <xdr:nvSpPr>
            <xdr:cNvPr id="1163" name="CheckBox138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139</xdr:row>
          <xdr:rowOff>0</xdr:rowOff>
        </xdr:from>
        <xdr:to>
          <xdr:col>0</xdr:col>
          <xdr:colOff>449580</xdr:colOff>
          <xdr:row>139</xdr:row>
          <xdr:rowOff>175260</xdr:rowOff>
        </xdr:to>
        <xdr:sp macro="" textlink="">
          <xdr:nvSpPr>
            <xdr:cNvPr id="1164" name="CheckBox139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140</xdr:row>
          <xdr:rowOff>0</xdr:rowOff>
        </xdr:from>
        <xdr:to>
          <xdr:col>0</xdr:col>
          <xdr:colOff>449580</xdr:colOff>
          <xdr:row>141</xdr:row>
          <xdr:rowOff>0</xdr:rowOff>
        </xdr:to>
        <xdr:sp macro="" textlink="">
          <xdr:nvSpPr>
            <xdr:cNvPr id="1165" name="CheckBox140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141</xdr:row>
          <xdr:rowOff>0</xdr:rowOff>
        </xdr:from>
        <xdr:to>
          <xdr:col>0</xdr:col>
          <xdr:colOff>449580</xdr:colOff>
          <xdr:row>142</xdr:row>
          <xdr:rowOff>0</xdr:rowOff>
        </xdr:to>
        <xdr:sp macro="" textlink="">
          <xdr:nvSpPr>
            <xdr:cNvPr id="1166" name="CheckBox141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143</xdr:row>
          <xdr:rowOff>0</xdr:rowOff>
        </xdr:from>
        <xdr:to>
          <xdr:col>0</xdr:col>
          <xdr:colOff>449580</xdr:colOff>
          <xdr:row>144</xdr:row>
          <xdr:rowOff>0</xdr:rowOff>
        </xdr:to>
        <xdr:sp macro="" textlink="">
          <xdr:nvSpPr>
            <xdr:cNvPr id="1168" name="CheckBox143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144</xdr:row>
          <xdr:rowOff>0</xdr:rowOff>
        </xdr:from>
        <xdr:to>
          <xdr:col>0</xdr:col>
          <xdr:colOff>449580</xdr:colOff>
          <xdr:row>145</xdr:row>
          <xdr:rowOff>0</xdr:rowOff>
        </xdr:to>
        <xdr:sp macro="" textlink="">
          <xdr:nvSpPr>
            <xdr:cNvPr id="1169" name="CheckBox144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145</xdr:row>
          <xdr:rowOff>0</xdr:rowOff>
        </xdr:from>
        <xdr:to>
          <xdr:col>0</xdr:col>
          <xdr:colOff>449580</xdr:colOff>
          <xdr:row>145</xdr:row>
          <xdr:rowOff>175260</xdr:rowOff>
        </xdr:to>
        <xdr:sp macro="" textlink="">
          <xdr:nvSpPr>
            <xdr:cNvPr id="1170" name="CheckBox14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146</xdr:row>
          <xdr:rowOff>0</xdr:rowOff>
        </xdr:from>
        <xdr:to>
          <xdr:col>0</xdr:col>
          <xdr:colOff>449580</xdr:colOff>
          <xdr:row>146</xdr:row>
          <xdr:rowOff>175260</xdr:rowOff>
        </xdr:to>
        <xdr:sp macro="" textlink="">
          <xdr:nvSpPr>
            <xdr:cNvPr id="1171" name="CheckBox146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147</xdr:row>
          <xdr:rowOff>0</xdr:rowOff>
        </xdr:from>
        <xdr:to>
          <xdr:col>0</xdr:col>
          <xdr:colOff>449580</xdr:colOff>
          <xdr:row>147</xdr:row>
          <xdr:rowOff>175260</xdr:rowOff>
        </xdr:to>
        <xdr:sp macro="" textlink="">
          <xdr:nvSpPr>
            <xdr:cNvPr id="1172" name="CheckBox147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148</xdr:row>
          <xdr:rowOff>0</xdr:rowOff>
        </xdr:from>
        <xdr:to>
          <xdr:col>0</xdr:col>
          <xdr:colOff>449580</xdr:colOff>
          <xdr:row>148</xdr:row>
          <xdr:rowOff>175260</xdr:rowOff>
        </xdr:to>
        <xdr:sp macro="" textlink="">
          <xdr:nvSpPr>
            <xdr:cNvPr id="1173" name="CheckBox148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149</xdr:row>
          <xdr:rowOff>0</xdr:rowOff>
        </xdr:from>
        <xdr:to>
          <xdr:col>0</xdr:col>
          <xdr:colOff>449580</xdr:colOff>
          <xdr:row>149</xdr:row>
          <xdr:rowOff>175260</xdr:rowOff>
        </xdr:to>
        <xdr:sp macro="" textlink="">
          <xdr:nvSpPr>
            <xdr:cNvPr id="1174" name="CheckBox149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150</xdr:row>
          <xdr:rowOff>0</xdr:rowOff>
        </xdr:from>
        <xdr:to>
          <xdr:col>0</xdr:col>
          <xdr:colOff>449580</xdr:colOff>
          <xdr:row>150</xdr:row>
          <xdr:rowOff>175260</xdr:rowOff>
        </xdr:to>
        <xdr:sp macro="" textlink="">
          <xdr:nvSpPr>
            <xdr:cNvPr id="1175" name="CheckBox150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151</xdr:row>
          <xdr:rowOff>0</xdr:rowOff>
        </xdr:from>
        <xdr:to>
          <xdr:col>0</xdr:col>
          <xdr:colOff>449580</xdr:colOff>
          <xdr:row>151</xdr:row>
          <xdr:rowOff>175260</xdr:rowOff>
        </xdr:to>
        <xdr:sp macro="" textlink="">
          <xdr:nvSpPr>
            <xdr:cNvPr id="1176" name="CheckBox151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152</xdr:row>
          <xdr:rowOff>0</xdr:rowOff>
        </xdr:from>
        <xdr:to>
          <xdr:col>0</xdr:col>
          <xdr:colOff>449580</xdr:colOff>
          <xdr:row>152</xdr:row>
          <xdr:rowOff>175260</xdr:rowOff>
        </xdr:to>
        <xdr:sp macro="" textlink="">
          <xdr:nvSpPr>
            <xdr:cNvPr id="1177" name="CheckBox152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153</xdr:row>
          <xdr:rowOff>0</xdr:rowOff>
        </xdr:from>
        <xdr:to>
          <xdr:col>0</xdr:col>
          <xdr:colOff>449580</xdr:colOff>
          <xdr:row>153</xdr:row>
          <xdr:rowOff>175260</xdr:rowOff>
        </xdr:to>
        <xdr:sp macro="" textlink="">
          <xdr:nvSpPr>
            <xdr:cNvPr id="1178" name="CheckBox153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154</xdr:row>
          <xdr:rowOff>0</xdr:rowOff>
        </xdr:from>
        <xdr:to>
          <xdr:col>0</xdr:col>
          <xdr:colOff>449580</xdr:colOff>
          <xdr:row>154</xdr:row>
          <xdr:rowOff>175260</xdr:rowOff>
        </xdr:to>
        <xdr:sp macro="" textlink="">
          <xdr:nvSpPr>
            <xdr:cNvPr id="1179" name="CheckBox154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77</xdr:row>
          <xdr:rowOff>0</xdr:rowOff>
        </xdr:from>
        <xdr:to>
          <xdr:col>0</xdr:col>
          <xdr:colOff>449580</xdr:colOff>
          <xdr:row>78</xdr:row>
          <xdr:rowOff>0</xdr:rowOff>
        </xdr:to>
        <xdr:sp macro="" textlink="">
          <xdr:nvSpPr>
            <xdr:cNvPr id="1180" name="CheckBox77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142</xdr:row>
          <xdr:rowOff>0</xdr:rowOff>
        </xdr:from>
        <xdr:to>
          <xdr:col>0</xdr:col>
          <xdr:colOff>449580</xdr:colOff>
          <xdr:row>143</xdr:row>
          <xdr:rowOff>0</xdr:rowOff>
        </xdr:to>
        <xdr:sp macro="" textlink="">
          <xdr:nvSpPr>
            <xdr:cNvPr id="1181" name="CheckBox142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155</xdr:row>
          <xdr:rowOff>0</xdr:rowOff>
        </xdr:from>
        <xdr:to>
          <xdr:col>0</xdr:col>
          <xdr:colOff>449580</xdr:colOff>
          <xdr:row>155</xdr:row>
          <xdr:rowOff>175260</xdr:rowOff>
        </xdr:to>
        <xdr:sp macro="" textlink="">
          <xdr:nvSpPr>
            <xdr:cNvPr id="1182" name="CheckBox15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156</xdr:row>
          <xdr:rowOff>0</xdr:rowOff>
        </xdr:from>
        <xdr:to>
          <xdr:col>0</xdr:col>
          <xdr:colOff>449580</xdr:colOff>
          <xdr:row>156</xdr:row>
          <xdr:rowOff>175260</xdr:rowOff>
        </xdr:to>
        <xdr:sp macro="" textlink="">
          <xdr:nvSpPr>
            <xdr:cNvPr id="1183" name="CheckBox156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157</xdr:row>
          <xdr:rowOff>0</xdr:rowOff>
        </xdr:from>
        <xdr:to>
          <xdr:col>0</xdr:col>
          <xdr:colOff>449580</xdr:colOff>
          <xdr:row>158</xdr:row>
          <xdr:rowOff>0</xdr:rowOff>
        </xdr:to>
        <xdr:sp macro="" textlink="">
          <xdr:nvSpPr>
            <xdr:cNvPr id="1184" name="CheckBox157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158</xdr:row>
          <xdr:rowOff>0</xdr:rowOff>
        </xdr:from>
        <xdr:to>
          <xdr:col>0</xdr:col>
          <xdr:colOff>449580</xdr:colOff>
          <xdr:row>158</xdr:row>
          <xdr:rowOff>175260</xdr:rowOff>
        </xdr:to>
        <xdr:sp macro="" textlink="">
          <xdr:nvSpPr>
            <xdr:cNvPr id="1185" name="CheckBox158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159</xdr:row>
          <xdr:rowOff>0</xdr:rowOff>
        </xdr:from>
        <xdr:to>
          <xdr:col>0</xdr:col>
          <xdr:colOff>449580</xdr:colOff>
          <xdr:row>159</xdr:row>
          <xdr:rowOff>175260</xdr:rowOff>
        </xdr:to>
        <xdr:sp macro="" textlink="">
          <xdr:nvSpPr>
            <xdr:cNvPr id="1186" name="CheckBox159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160</xdr:row>
          <xdr:rowOff>0</xdr:rowOff>
        </xdr:from>
        <xdr:to>
          <xdr:col>0</xdr:col>
          <xdr:colOff>449580</xdr:colOff>
          <xdr:row>160</xdr:row>
          <xdr:rowOff>175260</xdr:rowOff>
        </xdr:to>
        <xdr:sp macro="" textlink="">
          <xdr:nvSpPr>
            <xdr:cNvPr id="1187" name="CheckBox160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161</xdr:row>
          <xdr:rowOff>0</xdr:rowOff>
        </xdr:from>
        <xdr:to>
          <xdr:col>0</xdr:col>
          <xdr:colOff>449580</xdr:colOff>
          <xdr:row>161</xdr:row>
          <xdr:rowOff>175260</xdr:rowOff>
        </xdr:to>
        <xdr:sp macro="" textlink="">
          <xdr:nvSpPr>
            <xdr:cNvPr id="1188" name="CheckBox161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162</xdr:row>
          <xdr:rowOff>0</xdr:rowOff>
        </xdr:from>
        <xdr:to>
          <xdr:col>0</xdr:col>
          <xdr:colOff>449580</xdr:colOff>
          <xdr:row>162</xdr:row>
          <xdr:rowOff>175260</xdr:rowOff>
        </xdr:to>
        <xdr:sp macro="" textlink="">
          <xdr:nvSpPr>
            <xdr:cNvPr id="1189" name="CheckBox162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163</xdr:row>
          <xdr:rowOff>0</xdr:rowOff>
        </xdr:from>
        <xdr:to>
          <xdr:col>0</xdr:col>
          <xdr:colOff>449580</xdr:colOff>
          <xdr:row>163</xdr:row>
          <xdr:rowOff>175260</xdr:rowOff>
        </xdr:to>
        <xdr:sp macro="" textlink="">
          <xdr:nvSpPr>
            <xdr:cNvPr id="1190" name="CheckBox163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164</xdr:row>
          <xdr:rowOff>0</xdr:rowOff>
        </xdr:from>
        <xdr:to>
          <xdr:col>0</xdr:col>
          <xdr:colOff>449580</xdr:colOff>
          <xdr:row>164</xdr:row>
          <xdr:rowOff>175260</xdr:rowOff>
        </xdr:to>
        <xdr:sp macro="" textlink="">
          <xdr:nvSpPr>
            <xdr:cNvPr id="1191" name="CheckBox164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165</xdr:row>
          <xdr:rowOff>0</xdr:rowOff>
        </xdr:from>
        <xdr:to>
          <xdr:col>0</xdr:col>
          <xdr:colOff>449580</xdr:colOff>
          <xdr:row>165</xdr:row>
          <xdr:rowOff>175260</xdr:rowOff>
        </xdr:to>
        <xdr:sp macro="" textlink="">
          <xdr:nvSpPr>
            <xdr:cNvPr id="1192" name="CheckBox16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168</xdr:row>
          <xdr:rowOff>0</xdr:rowOff>
        </xdr:from>
        <xdr:to>
          <xdr:col>0</xdr:col>
          <xdr:colOff>449580</xdr:colOff>
          <xdr:row>169</xdr:row>
          <xdr:rowOff>0</xdr:rowOff>
        </xdr:to>
        <xdr:sp macro="" textlink="">
          <xdr:nvSpPr>
            <xdr:cNvPr id="1193" name="CheckBox168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169</xdr:row>
          <xdr:rowOff>0</xdr:rowOff>
        </xdr:from>
        <xdr:to>
          <xdr:col>0</xdr:col>
          <xdr:colOff>449580</xdr:colOff>
          <xdr:row>169</xdr:row>
          <xdr:rowOff>175260</xdr:rowOff>
        </xdr:to>
        <xdr:sp macro="" textlink="">
          <xdr:nvSpPr>
            <xdr:cNvPr id="1194" name="CheckBox169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170</xdr:row>
          <xdr:rowOff>0</xdr:rowOff>
        </xdr:from>
        <xdr:to>
          <xdr:col>0</xdr:col>
          <xdr:colOff>449580</xdr:colOff>
          <xdr:row>171</xdr:row>
          <xdr:rowOff>0</xdr:rowOff>
        </xdr:to>
        <xdr:sp macro="" textlink="">
          <xdr:nvSpPr>
            <xdr:cNvPr id="1195" name="CheckBox170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171</xdr:row>
          <xdr:rowOff>0</xdr:rowOff>
        </xdr:from>
        <xdr:to>
          <xdr:col>0</xdr:col>
          <xdr:colOff>449580</xdr:colOff>
          <xdr:row>171</xdr:row>
          <xdr:rowOff>175260</xdr:rowOff>
        </xdr:to>
        <xdr:sp macro="" textlink="">
          <xdr:nvSpPr>
            <xdr:cNvPr id="1196" name="CheckBox171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172</xdr:row>
          <xdr:rowOff>0</xdr:rowOff>
        </xdr:from>
        <xdr:to>
          <xdr:col>0</xdr:col>
          <xdr:colOff>449580</xdr:colOff>
          <xdr:row>172</xdr:row>
          <xdr:rowOff>175260</xdr:rowOff>
        </xdr:to>
        <xdr:sp macro="" textlink="">
          <xdr:nvSpPr>
            <xdr:cNvPr id="1197" name="CheckBox172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173</xdr:row>
          <xdr:rowOff>0</xdr:rowOff>
        </xdr:from>
        <xdr:to>
          <xdr:col>0</xdr:col>
          <xdr:colOff>449580</xdr:colOff>
          <xdr:row>173</xdr:row>
          <xdr:rowOff>175260</xdr:rowOff>
        </xdr:to>
        <xdr:sp macro="" textlink="">
          <xdr:nvSpPr>
            <xdr:cNvPr id="1198" name="CheckBox173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174</xdr:row>
          <xdr:rowOff>0</xdr:rowOff>
        </xdr:from>
        <xdr:to>
          <xdr:col>0</xdr:col>
          <xdr:colOff>449580</xdr:colOff>
          <xdr:row>174</xdr:row>
          <xdr:rowOff>175260</xdr:rowOff>
        </xdr:to>
        <xdr:sp macro="" textlink="">
          <xdr:nvSpPr>
            <xdr:cNvPr id="1199" name="CheckBox174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175</xdr:row>
          <xdr:rowOff>0</xdr:rowOff>
        </xdr:from>
        <xdr:to>
          <xdr:col>0</xdr:col>
          <xdr:colOff>449580</xdr:colOff>
          <xdr:row>175</xdr:row>
          <xdr:rowOff>175260</xdr:rowOff>
        </xdr:to>
        <xdr:sp macro="" textlink="">
          <xdr:nvSpPr>
            <xdr:cNvPr id="1200" name="CheckBox17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176</xdr:row>
          <xdr:rowOff>0</xdr:rowOff>
        </xdr:from>
        <xdr:to>
          <xdr:col>0</xdr:col>
          <xdr:colOff>449580</xdr:colOff>
          <xdr:row>176</xdr:row>
          <xdr:rowOff>175260</xdr:rowOff>
        </xdr:to>
        <xdr:sp macro="" textlink="">
          <xdr:nvSpPr>
            <xdr:cNvPr id="1201" name="CheckBox176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177</xdr:row>
          <xdr:rowOff>0</xdr:rowOff>
        </xdr:from>
        <xdr:to>
          <xdr:col>0</xdr:col>
          <xdr:colOff>449580</xdr:colOff>
          <xdr:row>177</xdr:row>
          <xdr:rowOff>175260</xdr:rowOff>
        </xdr:to>
        <xdr:sp macro="" textlink="">
          <xdr:nvSpPr>
            <xdr:cNvPr id="1202" name="CheckBox177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167</xdr:row>
          <xdr:rowOff>0</xdr:rowOff>
        </xdr:from>
        <xdr:to>
          <xdr:col>0</xdr:col>
          <xdr:colOff>449580</xdr:colOff>
          <xdr:row>168</xdr:row>
          <xdr:rowOff>0</xdr:rowOff>
        </xdr:to>
        <xdr:sp macro="" textlink="">
          <xdr:nvSpPr>
            <xdr:cNvPr id="1203" name="CheckBox167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180</xdr:row>
          <xdr:rowOff>0</xdr:rowOff>
        </xdr:from>
        <xdr:to>
          <xdr:col>0</xdr:col>
          <xdr:colOff>449580</xdr:colOff>
          <xdr:row>181</xdr:row>
          <xdr:rowOff>0</xdr:rowOff>
        </xdr:to>
        <xdr:sp macro="" textlink="">
          <xdr:nvSpPr>
            <xdr:cNvPr id="1204" name="CheckBox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181</xdr:row>
          <xdr:rowOff>0</xdr:rowOff>
        </xdr:from>
        <xdr:to>
          <xdr:col>0</xdr:col>
          <xdr:colOff>449580</xdr:colOff>
          <xdr:row>181</xdr:row>
          <xdr:rowOff>175260</xdr:rowOff>
        </xdr:to>
        <xdr:sp macro="" textlink="">
          <xdr:nvSpPr>
            <xdr:cNvPr id="1205" name="CheckBox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182</xdr:row>
          <xdr:rowOff>0</xdr:rowOff>
        </xdr:from>
        <xdr:to>
          <xdr:col>0</xdr:col>
          <xdr:colOff>449580</xdr:colOff>
          <xdr:row>183</xdr:row>
          <xdr:rowOff>0</xdr:rowOff>
        </xdr:to>
        <xdr:sp macro="" textlink="">
          <xdr:nvSpPr>
            <xdr:cNvPr id="1206" name="CheckBox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183</xdr:row>
          <xdr:rowOff>0</xdr:rowOff>
        </xdr:from>
        <xdr:to>
          <xdr:col>0</xdr:col>
          <xdr:colOff>449580</xdr:colOff>
          <xdr:row>183</xdr:row>
          <xdr:rowOff>175260</xdr:rowOff>
        </xdr:to>
        <xdr:sp macro="" textlink="">
          <xdr:nvSpPr>
            <xdr:cNvPr id="1207" name="CheckBox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184</xdr:row>
          <xdr:rowOff>0</xdr:rowOff>
        </xdr:from>
        <xdr:to>
          <xdr:col>0</xdr:col>
          <xdr:colOff>449580</xdr:colOff>
          <xdr:row>184</xdr:row>
          <xdr:rowOff>175260</xdr:rowOff>
        </xdr:to>
        <xdr:sp macro="" textlink="">
          <xdr:nvSpPr>
            <xdr:cNvPr id="1208" name="CheckBox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185</xdr:row>
          <xdr:rowOff>0</xdr:rowOff>
        </xdr:from>
        <xdr:to>
          <xdr:col>0</xdr:col>
          <xdr:colOff>449580</xdr:colOff>
          <xdr:row>185</xdr:row>
          <xdr:rowOff>175260</xdr:rowOff>
        </xdr:to>
        <xdr:sp macro="" textlink="">
          <xdr:nvSpPr>
            <xdr:cNvPr id="1209" name="CheckBox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186</xdr:row>
          <xdr:rowOff>0</xdr:rowOff>
        </xdr:from>
        <xdr:to>
          <xdr:col>0</xdr:col>
          <xdr:colOff>449580</xdr:colOff>
          <xdr:row>186</xdr:row>
          <xdr:rowOff>175260</xdr:rowOff>
        </xdr:to>
        <xdr:sp macro="" textlink="">
          <xdr:nvSpPr>
            <xdr:cNvPr id="1210" name="CheckBox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187</xdr:row>
          <xdr:rowOff>0</xdr:rowOff>
        </xdr:from>
        <xdr:to>
          <xdr:col>0</xdr:col>
          <xdr:colOff>449580</xdr:colOff>
          <xdr:row>187</xdr:row>
          <xdr:rowOff>175260</xdr:rowOff>
        </xdr:to>
        <xdr:sp macro="" textlink="">
          <xdr:nvSpPr>
            <xdr:cNvPr id="1211" name="CheckBox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188</xdr:row>
          <xdr:rowOff>0</xdr:rowOff>
        </xdr:from>
        <xdr:to>
          <xdr:col>0</xdr:col>
          <xdr:colOff>449580</xdr:colOff>
          <xdr:row>188</xdr:row>
          <xdr:rowOff>175260</xdr:rowOff>
        </xdr:to>
        <xdr:sp macro="" textlink="">
          <xdr:nvSpPr>
            <xdr:cNvPr id="1212" name="CheckBox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189</xdr:row>
          <xdr:rowOff>0</xdr:rowOff>
        </xdr:from>
        <xdr:to>
          <xdr:col>0</xdr:col>
          <xdr:colOff>449580</xdr:colOff>
          <xdr:row>189</xdr:row>
          <xdr:rowOff>175260</xdr:rowOff>
        </xdr:to>
        <xdr:sp macro="" textlink="">
          <xdr:nvSpPr>
            <xdr:cNvPr id="1213" name="CheckBox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179</xdr:row>
          <xdr:rowOff>0</xdr:rowOff>
        </xdr:from>
        <xdr:to>
          <xdr:col>0</xdr:col>
          <xdr:colOff>449580</xdr:colOff>
          <xdr:row>180</xdr:row>
          <xdr:rowOff>0</xdr:rowOff>
        </xdr:to>
        <xdr:sp macro="" textlink="">
          <xdr:nvSpPr>
            <xdr:cNvPr id="1214" name="CheckBox179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190</xdr:row>
          <xdr:rowOff>0</xdr:rowOff>
        </xdr:from>
        <xdr:to>
          <xdr:col>0</xdr:col>
          <xdr:colOff>449580</xdr:colOff>
          <xdr:row>190</xdr:row>
          <xdr:rowOff>175260</xdr:rowOff>
        </xdr:to>
        <xdr:sp macro="" textlink="">
          <xdr:nvSpPr>
            <xdr:cNvPr id="1215" name="CheckBox190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40</xdr:row>
          <xdr:rowOff>0</xdr:rowOff>
        </xdr:from>
        <xdr:to>
          <xdr:col>0</xdr:col>
          <xdr:colOff>449580</xdr:colOff>
          <xdr:row>41</xdr:row>
          <xdr:rowOff>0</xdr:rowOff>
        </xdr:to>
        <xdr:sp macro="" textlink="">
          <xdr:nvSpPr>
            <xdr:cNvPr id="1216" name="CheckBox40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22</xdr:row>
          <xdr:rowOff>0</xdr:rowOff>
        </xdr:from>
        <xdr:to>
          <xdr:col>0</xdr:col>
          <xdr:colOff>449580</xdr:colOff>
          <xdr:row>23</xdr:row>
          <xdr:rowOff>0</xdr:rowOff>
        </xdr:to>
        <xdr:sp macro="" textlink="">
          <xdr:nvSpPr>
            <xdr:cNvPr id="1217" name="CheckBox22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91</xdr:row>
          <xdr:rowOff>0</xdr:rowOff>
        </xdr:from>
        <xdr:to>
          <xdr:col>0</xdr:col>
          <xdr:colOff>449580</xdr:colOff>
          <xdr:row>92</xdr:row>
          <xdr:rowOff>0</xdr:rowOff>
        </xdr:to>
        <xdr:sp macro="" textlink="">
          <xdr:nvSpPr>
            <xdr:cNvPr id="1218" name="CheckBox91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105</xdr:row>
          <xdr:rowOff>0</xdr:rowOff>
        </xdr:from>
        <xdr:to>
          <xdr:col>0</xdr:col>
          <xdr:colOff>449580</xdr:colOff>
          <xdr:row>106</xdr:row>
          <xdr:rowOff>0</xdr:rowOff>
        </xdr:to>
        <xdr:sp macro="" textlink="">
          <xdr:nvSpPr>
            <xdr:cNvPr id="1219" name="CheckBox10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</xdr:colOff>
          <xdr:row>18</xdr:row>
          <xdr:rowOff>0</xdr:rowOff>
        </xdr:from>
        <xdr:to>
          <xdr:col>0</xdr:col>
          <xdr:colOff>449580</xdr:colOff>
          <xdr:row>19</xdr:row>
          <xdr:rowOff>0</xdr:rowOff>
        </xdr:to>
        <xdr:sp macro="" textlink="">
          <xdr:nvSpPr>
            <xdr:cNvPr id="1220" name="CheckBox2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0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63" Type="http://schemas.openxmlformats.org/officeDocument/2006/relationships/control" Target="../activeX/activeX58.xml"/><Relationship Id="rId84" Type="http://schemas.openxmlformats.org/officeDocument/2006/relationships/control" Target="../activeX/activeX78.xml"/><Relationship Id="rId138" Type="http://schemas.openxmlformats.org/officeDocument/2006/relationships/control" Target="../activeX/activeX131.xml"/><Relationship Id="rId159" Type="http://schemas.openxmlformats.org/officeDocument/2006/relationships/control" Target="../activeX/activeX152.xml"/><Relationship Id="rId170" Type="http://schemas.openxmlformats.org/officeDocument/2006/relationships/control" Target="../activeX/activeX163.xml"/><Relationship Id="rId107" Type="http://schemas.openxmlformats.org/officeDocument/2006/relationships/control" Target="../activeX/activeX100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7.xml"/><Relationship Id="rId53" Type="http://schemas.openxmlformats.org/officeDocument/2006/relationships/control" Target="../activeX/activeX48.xml"/><Relationship Id="rId74" Type="http://schemas.openxmlformats.org/officeDocument/2006/relationships/control" Target="../activeX/activeX69.xml"/><Relationship Id="rId128" Type="http://schemas.openxmlformats.org/officeDocument/2006/relationships/control" Target="../activeX/activeX121.xml"/><Relationship Id="rId149" Type="http://schemas.openxmlformats.org/officeDocument/2006/relationships/control" Target="../activeX/activeX142.xml"/><Relationship Id="rId5" Type="http://schemas.openxmlformats.org/officeDocument/2006/relationships/image" Target="../media/image1.emf"/><Relationship Id="rId95" Type="http://schemas.openxmlformats.org/officeDocument/2006/relationships/control" Target="../activeX/activeX88.xml"/><Relationship Id="rId160" Type="http://schemas.openxmlformats.org/officeDocument/2006/relationships/control" Target="../activeX/activeX153.xml"/><Relationship Id="rId181" Type="http://schemas.openxmlformats.org/officeDocument/2006/relationships/control" Target="../activeX/activeX174.xml"/><Relationship Id="rId22" Type="http://schemas.openxmlformats.org/officeDocument/2006/relationships/control" Target="../activeX/activeX17.xml"/><Relationship Id="rId43" Type="http://schemas.openxmlformats.org/officeDocument/2006/relationships/control" Target="../activeX/activeX38.xml"/><Relationship Id="rId64" Type="http://schemas.openxmlformats.org/officeDocument/2006/relationships/control" Target="../activeX/activeX59.xml"/><Relationship Id="rId118" Type="http://schemas.openxmlformats.org/officeDocument/2006/relationships/control" Target="../activeX/activeX111.xml"/><Relationship Id="rId139" Type="http://schemas.openxmlformats.org/officeDocument/2006/relationships/control" Target="../activeX/activeX132.xml"/><Relationship Id="rId85" Type="http://schemas.openxmlformats.org/officeDocument/2006/relationships/control" Target="../activeX/activeX79.xml"/><Relationship Id="rId150" Type="http://schemas.openxmlformats.org/officeDocument/2006/relationships/control" Target="../activeX/activeX143.xml"/><Relationship Id="rId171" Type="http://schemas.openxmlformats.org/officeDocument/2006/relationships/control" Target="../activeX/activeX164.xml"/><Relationship Id="rId12" Type="http://schemas.openxmlformats.org/officeDocument/2006/relationships/control" Target="../activeX/activeX8.xml"/><Relationship Id="rId33" Type="http://schemas.openxmlformats.org/officeDocument/2006/relationships/control" Target="../activeX/activeX28.xml"/><Relationship Id="rId108" Type="http://schemas.openxmlformats.org/officeDocument/2006/relationships/control" Target="../activeX/activeX101.xml"/><Relationship Id="rId129" Type="http://schemas.openxmlformats.org/officeDocument/2006/relationships/control" Target="../activeX/activeX122.xml"/><Relationship Id="rId54" Type="http://schemas.openxmlformats.org/officeDocument/2006/relationships/control" Target="../activeX/activeX49.xml"/><Relationship Id="rId75" Type="http://schemas.openxmlformats.org/officeDocument/2006/relationships/image" Target="../media/image3.emf"/><Relationship Id="rId96" Type="http://schemas.openxmlformats.org/officeDocument/2006/relationships/control" Target="../activeX/activeX89.xml"/><Relationship Id="rId140" Type="http://schemas.openxmlformats.org/officeDocument/2006/relationships/control" Target="../activeX/activeX133.xml"/><Relationship Id="rId161" Type="http://schemas.openxmlformats.org/officeDocument/2006/relationships/control" Target="../activeX/activeX154.xml"/><Relationship Id="rId182" Type="http://schemas.openxmlformats.org/officeDocument/2006/relationships/control" Target="../activeX/activeX175.xml"/><Relationship Id="rId6" Type="http://schemas.openxmlformats.org/officeDocument/2006/relationships/control" Target="../activeX/activeX2.xml"/><Relationship Id="rId23" Type="http://schemas.openxmlformats.org/officeDocument/2006/relationships/control" Target="../activeX/activeX18.xml"/><Relationship Id="rId119" Type="http://schemas.openxmlformats.org/officeDocument/2006/relationships/control" Target="../activeX/activeX112.xml"/><Relationship Id="rId44" Type="http://schemas.openxmlformats.org/officeDocument/2006/relationships/control" Target="../activeX/activeX39.xml"/><Relationship Id="rId65" Type="http://schemas.openxmlformats.org/officeDocument/2006/relationships/control" Target="../activeX/activeX60.xml"/><Relationship Id="rId86" Type="http://schemas.openxmlformats.org/officeDocument/2006/relationships/control" Target="../activeX/activeX80.xml"/><Relationship Id="rId130" Type="http://schemas.openxmlformats.org/officeDocument/2006/relationships/control" Target="../activeX/activeX123.xml"/><Relationship Id="rId151" Type="http://schemas.openxmlformats.org/officeDocument/2006/relationships/control" Target="../activeX/activeX144.xml"/><Relationship Id="rId172" Type="http://schemas.openxmlformats.org/officeDocument/2006/relationships/control" Target="../activeX/activeX165.xml"/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39" Type="http://schemas.openxmlformats.org/officeDocument/2006/relationships/control" Target="../activeX/activeX34.xml"/><Relationship Id="rId109" Type="http://schemas.openxmlformats.org/officeDocument/2006/relationships/control" Target="../activeX/activeX102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0.xml"/><Relationship Id="rId97" Type="http://schemas.openxmlformats.org/officeDocument/2006/relationships/control" Target="../activeX/activeX90.xml"/><Relationship Id="rId104" Type="http://schemas.openxmlformats.org/officeDocument/2006/relationships/control" Target="../activeX/activeX97.xml"/><Relationship Id="rId120" Type="http://schemas.openxmlformats.org/officeDocument/2006/relationships/control" Target="../activeX/activeX113.xml"/><Relationship Id="rId125" Type="http://schemas.openxmlformats.org/officeDocument/2006/relationships/control" Target="../activeX/activeX118.xml"/><Relationship Id="rId141" Type="http://schemas.openxmlformats.org/officeDocument/2006/relationships/control" Target="../activeX/activeX134.xml"/><Relationship Id="rId146" Type="http://schemas.openxmlformats.org/officeDocument/2006/relationships/control" Target="../activeX/activeX139.xml"/><Relationship Id="rId167" Type="http://schemas.openxmlformats.org/officeDocument/2006/relationships/control" Target="../activeX/activeX160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5.xml"/><Relationship Id="rId162" Type="http://schemas.openxmlformats.org/officeDocument/2006/relationships/control" Target="../activeX/activeX155.xml"/><Relationship Id="rId183" Type="http://schemas.openxmlformats.org/officeDocument/2006/relationships/control" Target="../activeX/activeX176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24.xml"/><Relationship Id="rId24" Type="http://schemas.openxmlformats.org/officeDocument/2006/relationships/control" Target="../activeX/activeX19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66" Type="http://schemas.openxmlformats.org/officeDocument/2006/relationships/control" Target="../activeX/activeX61.xml"/><Relationship Id="rId87" Type="http://schemas.openxmlformats.org/officeDocument/2006/relationships/control" Target="../activeX/activeX81.xml"/><Relationship Id="rId110" Type="http://schemas.openxmlformats.org/officeDocument/2006/relationships/control" Target="../activeX/activeX103.xml"/><Relationship Id="rId115" Type="http://schemas.openxmlformats.org/officeDocument/2006/relationships/control" Target="../activeX/activeX108.xml"/><Relationship Id="rId131" Type="http://schemas.openxmlformats.org/officeDocument/2006/relationships/control" Target="../activeX/activeX124.xml"/><Relationship Id="rId136" Type="http://schemas.openxmlformats.org/officeDocument/2006/relationships/control" Target="../activeX/activeX129.xml"/><Relationship Id="rId157" Type="http://schemas.openxmlformats.org/officeDocument/2006/relationships/control" Target="../activeX/activeX150.xml"/><Relationship Id="rId178" Type="http://schemas.openxmlformats.org/officeDocument/2006/relationships/control" Target="../activeX/activeX171.xml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6.xml"/><Relationship Id="rId152" Type="http://schemas.openxmlformats.org/officeDocument/2006/relationships/control" Target="../activeX/activeX145.xml"/><Relationship Id="rId173" Type="http://schemas.openxmlformats.org/officeDocument/2006/relationships/control" Target="../activeX/activeX166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10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56" Type="http://schemas.openxmlformats.org/officeDocument/2006/relationships/control" Target="../activeX/activeX51.xml"/><Relationship Id="rId77" Type="http://schemas.openxmlformats.org/officeDocument/2006/relationships/control" Target="../activeX/activeX71.xml"/><Relationship Id="rId100" Type="http://schemas.openxmlformats.org/officeDocument/2006/relationships/control" Target="../activeX/activeX93.xml"/><Relationship Id="rId105" Type="http://schemas.openxmlformats.org/officeDocument/2006/relationships/control" Target="../activeX/activeX98.xml"/><Relationship Id="rId126" Type="http://schemas.openxmlformats.org/officeDocument/2006/relationships/control" Target="../activeX/activeX119.xml"/><Relationship Id="rId147" Type="http://schemas.openxmlformats.org/officeDocument/2006/relationships/control" Target="../activeX/activeX140.xml"/><Relationship Id="rId168" Type="http://schemas.openxmlformats.org/officeDocument/2006/relationships/control" Target="../activeX/activeX161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93" Type="http://schemas.openxmlformats.org/officeDocument/2006/relationships/control" Target="../activeX/activeX86.xml"/><Relationship Id="rId98" Type="http://schemas.openxmlformats.org/officeDocument/2006/relationships/control" Target="../activeX/activeX91.xml"/><Relationship Id="rId121" Type="http://schemas.openxmlformats.org/officeDocument/2006/relationships/control" Target="../activeX/activeX114.xml"/><Relationship Id="rId142" Type="http://schemas.openxmlformats.org/officeDocument/2006/relationships/control" Target="../activeX/activeX135.xml"/><Relationship Id="rId163" Type="http://schemas.openxmlformats.org/officeDocument/2006/relationships/control" Target="../activeX/activeX156.xml"/><Relationship Id="rId184" Type="http://schemas.openxmlformats.org/officeDocument/2006/relationships/control" Target="../activeX/activeX177.xml"/><Relationship Id="rId3" Type="http://schemas.openxmlformats.org/officeDocument/2006/relationships/vmlDrawing" Target="../drawings/vmlDrawing1.vml"/><Relationship Id="rId25" Type="http://schemas.openxmlformats.org/officeDocument/2006/relationships/control" Target="../activeX/activeX20.xml"/><Relationship Id="rId46" Type="http://schemas.openxmlformats.org/officeDocument/2006/relationships/control" Target="../activeX/activeX41.xml"/><Relationship Id="rId67" Type="http://schemas.openxmlformats.org/officeDocument/2006/relationships/control" Target="../activeX/activeX62.xml"/><Relationship Id="rId116" Type="http://schemas.openxmlformats.org/officeDocument/2006/relationships/control" Target="../activeX/activeX109.xml"/><Relationship Id="rId137" Type="http://schemas.openxmlformats.org/officeDocument/2006/relationships/control" Target="../activeX/activeX130.xml"/><Relationship Id="rId158" Type="http://schemas.openxmlformats.org/officeDocument/2006/relationships/control" Target="../activeX/activeX151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62" Type="http://schemas.openxmlformats.org/officeDocument/2006/relationships/control" Target="../activeX/activeX57.xml"/><Relationship Id="rId83" Type="http://schemas.openxmlformats.org/officeDocument/2006/relationships/control" Target="../activeX/activeX77.xml"/><Relationship Id="rId88" Type="http://schemas.openxmlformats.org/officeDocument/2006/relationships/control" Target="../activeX/activeX82.xml"/><Relationship Id="rId111" Type="http://schemas.openxmlformats.org/officeDocument/2006/relationships/control" Target="../activeX/activeX104.xml"/><Relationship Id="rId132" Type="http://schemas.openxmlformats.org/officeDocument/2006/relationships/control" Target="../activeX/activeX125.xml"/><Relationship Id="rId153" Type="http://schemas.openxmlformats.org/officeDocument/2006/relationships/control" Target="../activeX/activeX146.xml"/><Relationship Id="rId174" Type="http://schemas.openxmlformats.org/officeDocument/2006/relationships/control" Target="../activeX/activeX167.xml"/><Relationship Id="rId179" Type="http://schemas.openxmlformats.org/officeDocument/2006/relationships/control" Target="../activeX/activeX172.xml"/><Relationship Id="rId15" Type="http://schemas.openxmlformats.org/officeDocument/2006/relationships/control" Target="../activeX/activeX11.xml"/><Relationship Id="rId36" Type="http://schemas.openxmlformats.org/officeDocument/2006/relationships/control" Target="../activeX/activeX31.xml"/><Relationship Id="rId57" Type="http://schemas.openxmlformats.org/officeDocument/2006/relationships/control" Target="../activeX/activeX52.xml"/><Relationship Id="rId106" Type="http://schemas.openxmlformats.org/officeDocument/2006/relationships/control" Target="../activeX/activeX99.xml"/><Relationship Id="rId127" Type="http://schemas.openxmlformats.org/officeDocument/2006/relationships/control" Target="../activeX/activeX120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6.xml"/><Relationship Id="rId52" Type="http://schemas.openxmlformats.org/officeDocument/2006/relationships/control" Target="../activeX/activeX47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2.xml"/><Relationship Id="rId94" Type="http://schemas.openxmlformats.org/officeDocument/2006/relationships/control" Target="../activeX/activeX87.xml"/><Relationship Id="rId99" Type="http://schemas.openxmlformats.org/officeDocument/2006/relationships/control" Target="../activeX/activeX92.xml"/><Relationship Id="rId101" Type="http://schemas.openxmlformats.org/officeDocument/2006/relationships/control" Target="../activeX/activeX94.xml"/><Relationship Id="rId122" Type="http://schemas.openxmlformats.org/officeDocument/2006/relationships/control" Target="../activeX/activeX115.xml"/><Relationship Id="rId143" Type="http://schemas.openxmlformats.org/officeDocument/2006/relationships/control" Target="../activeX/activeX136.xml"/><Relationship Id="rId148" Type="http://schemas.openxmlformats.org/officeDocument/2006/relationships/control" Target="../activeX/activeX141.xml"/><Relationship Id="rId164" Type="http://schemas.openxmlformats.org/officeDocument/2006/relationships/control" Target="../activeX/activeX157.xml"/><Relationship Id="rId169" Type="http://schemas.openxmlformats.org/officeDocument/2006/relationships/control" Target="../activeX/activeX162.xml"/><Relationship Id="rId185" Type="http://schemas.openxmlformats.org/officeDocument/2006/relationships/control" Target="../activeX/activeX17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80" Type="http://schemas.openxmlformats.org/officeDocument/2006/relationships/control" Target="../activeX/activeX173.xml"/><Relationship Id="rId26" Type="http://schemas.openxmlformats.org/officeDocument/2006/relationships/control" Target="../activeX/activeX21.xml"/><Relationship Id="rId47" Type="http://schemas.openxmlformats.org/officeDocument/2006/relationships/control" Target="../activeX/activeX42.xml"/><Relationship Id="rId68" Type="http://schemas.openxmlformats.org/officeDocument/2006/relationships/control" Target="../activeX/activeX63.xml"/><Relationship Id="rId89" Type="http://schemas.openxmlformats.org/officeDocument/2006/relationships/image" Target="../media/image4.emf"/><Relationship Id="rId112" Type="http://schemas.openxmlformats.org/officeDocument/2006/relationships/control" Target="../activeX/activeX105.xml"/><Relationship Id="rId133" Type="http://schemas.openxmlformats.org/officeDocument/2006/relationships/control" Target="../activeX/activeX126.xml"/><Relationship Id="rId154" Type="http://schemas.openxmlformats.org/officeDocument/2006/relationships/control" Target="../activeX/activeX147.xml"/><Relationship Id="rId175" Type="http://schemas.openxmlformats.org/officeDocument/2006/relationships/control" Target="../activeX/activeX168.xml"/><Relationship Id="rId16" Type="http://schemas.openxmlformats.org/officeDocument/2006/relationships/control" Target="../activeX/activeX12.xml"/><Relationship Id="rId37" Type="http://schemas.openxmlformats.org/officeDocument/2006/relationships/control" Target="../activeX/activeX32.xml"/><Relationship Id="rId58" Type="http://schemas.openxmlformats.org/officeDocument/2006/relationships/control" Target="../activeX/activeX53.xml"/><Relationship Id="rId79" Type="http://schemas.openxmlformats.org/officeDocument/2006/relationships/control" Target="../activeX/activeX73.xml"/><Relationship Id="rId102" Type="http://schemas.openxmlformats.org/officeDocument/2006/relationships/control" Target="../activeX/activeX95.xml"/><Relationship Id="rId123" Type="http://schemas.openxmlformats.org/officeDocument/2006/relationships/control" Target="../activeX/activeX116.xml"/><Relationship Id="rId144" Type="http://schemas.openxmlformats.org/officeDocument/2006/relationships/control" Target="../activeX/activeX137.xml"/><Relationship Id="rId90" Type="http://schemas.openxmlformats.org/officeDocument/2006/relationships/control" Target="../activeX/activeX83.xml"/><Relationship Id="rId165" Type="http://schemas.openxmlformats.org/officeDocument/2006/relationships/control" Target="../activeX/activeX158.xml"/><Relationship Id="rId186" Type="http://schemas.openxmlformats.org/officeDocument/2006/relationships/control" Target="../activeX/activeX179.xml"/><Relationship Id="rId27" Type="http://schemas.openxmlformats.org/officeDocument/2006/relationships/control" Target="../activeX/activeX22.xml"/><Relationship Id="rId48" Type="http://schemas.openxmlformats.org/officeDocument/2006/relationships/control" Target="../activeX/activeX43.xml"/><Relationship Id="rId69" Type="http://schemas.openxmlformats.org/officeDocument/2006/relationships/control" Target="../activeX/activeX64.xml"/><Relationship Id="rId113" Type="http://schemas.openxmlformats.org/officeDocument/2006/relationships/control" Target="../activeX/activeX106.xml"/><Relationship Id="rId134" Type="http://schemas.openxmlformats.org/officeDocument/2006/relationships/control" Target="../activeX/activeX127.xml"/><Relationship Id="rId80" Type="http://schemas.openxmlformats.org/officeDocument/2006/relationships/control" Target="../activeX/activeX74.xml"/><Relationship Id="rId155" Type="http://schemas.openxmlformats.org/officeDocument/2006/relationships/control" Target="../activeX/activeX148.xml"/><Relationship Id="rId176" Type="http://schemas.openxmlformats.org/officeDocument/2006/relationships/control" Target="../activeX/activeX169.xml"/><Relationship Id="rId17" Type="http://schemas.openxmlformats.org/officeDocument/2006/relationships/control" Target="../activeX/activeX13.xml"/><Relationship Id="rId38" Type="http://schemas.openxmlformats.org/officeDocument/2006/relationships/control" Target="../activeX/activeX33.xml"/><Relationship Id="rId59" Type="http://schemas.openxmlformats.org/officeDocument/2006/relationships/control" Target="../activeX/activeX54.xml"/><Relationship Id="rId103" Type="http://schemas.openxmlformats.org/officeDocument/2006/relationships/control" Target="../activeX/activeX96.xml"/><Relationship Id="rId124" Type="http://schemas.openxmlformats.org/officeDocument/2006/relationships/control" Target="../activeX/activeX117.xml"/><Relationship Id="rId70" Type="http://schemas.openxmlformats.org/officeDocument/2006/relationships/control" Target="../activeX/activeX65.xml"/><Relationship Id="rId91" Type="http://schemas.openxmlformats.org/officeDocument/2006/relationships/control" Target="../activeX/activeX84.xml"/><Relationship Id="rId145" Type="http://schemas.openxmlformats.org/officeDocument/2006/relationships/control" Target="../activeX/activeX138.xml"/><Relationship Id="rId166" Type="http://schemas.openxmlformats.org/officeDocument/2006/relationships/control" Target="../activeX/activeX159.xml"/><Relationship Id="rId1" Type="http://schemas.openxmlformats.org/officeDocument/2006/relationships/printerSettings" Target="../printerSettings/printerSettings1.bin"/><Relationship Id="rId28" Type="http://schemas.openxmlformats.org/officeDocument/2006/relationships/control" Target="../activeX/activeX23.xml"/><Relationship Id="rId49" Type="http://schemas.openxmlformats.org/officeDocument/2006/relationships/control" Target="../activeX/activeX44.xml"/><Relationship Id="rId114" Type="http://schemas.openxmlformats.org/officeDocument/2006/relationships/control" Target="../activeX/activeX107.xml"/><Relationship Id="rId60" Type="http://schemas.openxmlformats.org/officeDocument/2006/relationships/control" Target="../activeX/activeX55.xml"/><Relationship Id="rId81" Type="http://schemas.openxmlformats.org/officeDocument/2006/relationships/control" Target="../activeX/activeX75.xml"/><Relationship Id="rId135" Type="http://schemas.openxmlformats.org/officeDocument/2006/relationships/control" Target="../activeX/activeX128.xml"/><Relationship Id="rId156" Type="http://schemas.openxmlformats.org/officeDocument/2006/relationships/control" Target="../activeX/activeX149.xml"/><Relationship Id="rId177" Type="http://schemas.openxmlformats.org/officeDocument/2006/relationships/control" Target="../activeX/activeX1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3138E-E923-4A92-AE3B-623DB18C2773}">
  <sheetPr codeName="Sheet1"/>
  <dimension ref="A1:I191"/>
  <sheetViews>
    <sheetView tabSelected="1" zoomScale="70" zoomScaleNormal="70" workbookViewId="0">
      <selection activeCell="D13" sqref="D13"/>
    </sheetView>
  </sheetViews>
  <sheetFormatPr defaultRowHeight="14.4" x14ac:dyDescent="0.3"/>
  <cols>
    <col min="1" max="1" width="8.6640625" style="52"/>
    <col min="2" max="2" width="75.6640625" bestFit="1" customWidth="1"/>
    <col min="3" max="3" width="69" bestFit="1" customWidth="1"/>
    <col min="4" max="4" width="40.33203125" bestFit="1" customWidth="1"/>
    <col min="5" max="5" width="34.6640625" bestFit="1" customWidth="1"/>
    <col min="6" max="6" width="22.6640625" bestFit="1" customWidth="1"/>
    <col min="7" max="7" width="31.33203125" bestFit="1" customWidth="1"/>
    <col min="8" max="8" width="39.5546875" bestFit="1" customWidth="1"/>
    <col min="9" max="9" width="52.109375" bestFit="1" customWidth="1"/>
  </cols>
  <sheetData>
    <row r="1" spans="1:8" x14ac:dyDescent="0.3">
      <c r="A1" s="52" t="b">
        <v>1</v>
      </c>
      <c r="B1" s="47" t="s">
        <v>0</v>
      </c>
    </row>
    <row r="2" spans="1:8" x14ac:dyDescent="0.3">
      <c r="B2" s="33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3">
      <c r="A3" s="52" t="b">
        <v>1</v>
      </c>
      <c r="B3" s="34" t="s">
        <v>1</v>
      </c>
      <c r="C3" s="13" t="s">
        <v>8</v>
      </c>
      <c r="D3" s="13" t="s">
        <v>9</v>
      </c>
      <c r="E3" s="13" t="s">
        <v>10</v>
      </c>
      <c r="F3" s="13" t="s">
        <v>11</v>
      </c>
      <c r="G3" s="13" t="s">
        <v>12</v>
      </c>
      <c r="H3" s="13" t="s">
        <v>13</v>
      </c>
    </row>
    <row r="4" spans="1:8" x14ac:dyDescent="0.3">
      <c r="B4" s="35"/>
      <c r="C4" s="14" t="s">
        <v>14</v>
      </c>
      <c r="D4" s="14" t="s">
        <v>15</v>
      </c>
      <c r="E4" s="14" t="s">
        <v>16</v>
      </c>
      <c r="F4" s="14" t="s">
        <v>17</v>
      </c>
      <c r="G4" s="14" t="s">
        <v>18</v>
      </c>
      <c r="H4" s="14" t="s">
        <v>19</v>
      </c>
    </row>
    <row r="6" spans="1:8" x14ac:dyDescent="0.3">
      <c r="A6" s="52" t="b">
        <v>1</v>
      </c>
      <c r="B6" s="36" t="s">
        <v>20</v>
      </c>
      <c r="C6" s="8" t="s">
        <v>21</v>
      </c>
    </row>
    <row r="7" spans="1:8" ht="15" thickBot="1" x14ac:dyDescent="0.35">
      <c r="B7" s="37" t="s">
        <v>22</v>
      </c>
    </row>
    <row r="9" spans="1:8" x14ac:dyDescent="0.3">
      <c r="A9" s="52" t="b">
        <v>1</v>
      </c>
      <c r="B9" s="36" t="s">
        <v>23</v>
      </c>
    </row>
    <row r="10" spans="1:8" x14ac:dyDescent="0.3">
      <c r="A10" s="52" t="b">
        <v>1</v>
      </c>
      <c r="B10" s="38" t="s">
        <v>24</v>
      </c>
      <c r="C10" s="3" t="s">
        <v>25</v>
      </c>
    </row>
    <row r="11" spans="1:8" x14ac:dyDescent="0.3">
      <c r="A11" s="52" t="b">
        <v>1</v>
      </c>
      <c r="B11" s="38" t="s">
        <v>26</v>
      </c>
      <c r="C11" s="3" t="s">
        <v>27</v>
      </c>
    </row>
    <row r="12" spans="1:8" x14ac:dyDescent="0.3">
      <c r="A12" s="52" t="b">
        <v>1</v>
      </c>
      <c r="B12" s="38" t="s">
        <v>28</v>
      </c>
      <c r="C12" s="3" t="s">
        <v>29</v>
      </c>
    </row>
    <row r="13" spans="1:8" x14ac:dyDescent="0.3">
      <c r="A13" s="52" t="b">
        <v>1</v>
      </c>
      <c r="B13" s="38" t="s">
        <v>30</v>
      </c>
      <c r="C13" s="3" t="s">
        <v>31</v>
      </c>
    </row>
    <row r="14" spans="1:8" x14ac:dyDescent="0.3">
      <c r="A14" s="52" t="b">
        <v>1</v>
      </c>
      <c r="B14" s="38" t="s">
        <v>32</v>
      </c>
      <c r="C14" s="3" t="s">
        <v>33</v>
      </c>
    </row>
    <row r="15" spans="1:8" x14ac:dyDescent="0.3">
      <c r="A15" s="52" t="b">
        <v>1</v>
      </c>
      <c r="B15" s="38" t="s">
        <v>34</v>
      </c>
      <c r="C15" s="3" t="s">
        <v>35</v>
      </c>
    </row>
    <row r="16" spans="1:8" x14ac:dyDescent="0.3">
      <c r="A16" s="52" t="b">
        <v>1</v>
      </c>
      <c r="B16" s="38" t="s">
        <v>36</v>
      </c>
      <c r="C16" s="8" t="s">
        <v>37</v>
      </c>
    </row>
    <row r="18" spans="1:7" x14ac:dyDescent="0.3">
      <c r="A18" s="52" t="b">
        <v>1</v>
      </c>
      <c r="B18" s="39" t="s">
        <v>38</v>
      </c>
    </row>
    <row r="19" spans="1:7" x14ac:dyDescent="0.3">
      <c r="A19" s="52" t="b">
        <v>1</v>
      </c>
      <c r="B19" s="57" t="s">
        <v>39</v>
      </c>
      <c r="C19" s="58" t="s">
        <v>40</v>
      </c>
    </row>
    <row r="20" spans="1:7" x14ac:dyDescent="0.3">
      <c r="A20" s="52" t="b">
        <v>1</v>
      </c>
      <c r="B20" s="38" t="s">
        <v>41</v>
      </c>
      <c r="C20" s="8" t="s">
        <v>42</v>
      </c>
      <c r="D20" s="15" t="s">
        <v>43</v>
      </c>
      <c r="E20" s="15" t="s">
        <v>44</v>
      </c>
      <c r="F20" s="3"/>
      <c r="G20" s="14" t="s">
        <v>45</v>
      </c>
    </row>
    <row r="21" spans="1:7" x14ac:dyDescent="0.3">
      <c r="A21" s="52" t="b">
        <v>1</v>
      </c>
      <c r="B21" s="38" t="s">
        <v>46</v>
      </c>
      <c r="C21" s="8" t="s">
        <v>47</v>
      </c>
      <c r="D21" s="15" t="s">
        <v>43</v>
      </c>
      <c r="E21" s="15" t="s">
        <v>44</v>
      </c>
      <c r="F21" s="15" t="s">
        <v>48</v>
      </c>
      <c r="G21" s="14" t="s">
        <v>45</v>
      </c>
    </row>
    <row r="22" spans="1:7" x14ac:dyDescent="0.3">
      <c r="B22" s="17" t="s">
        <v>49</v>
      </c>
      <c r="C22" s="5"/>
      <c r="D22" s="6"/>
      <c r="E22" s="7"/>
      <c r="F22" s="7"/>
    </row>
    <row r="23" spans="1:7" x14ac:dyDescent="0.3">
      <c r="A23" s="52" t="b">
        <v>1</v>
      </c>
      <c r="B23" s="38" t="s">
        <v>50</v>
      </c>
      <c r="C23" s="16" t="s">
        <v>51</v>
      </c>
      <c r="D23" s="16" t="s">
        <v>52</v>
      </c>
      <c r="E23" s="14" t="s">
        <v>53</v>
      </c>
    </row>
    <row r="24" spans="1:7" x14ac:dyDescent="0.3">
      <c r="A24" s="52" t="b">
        <v>1</v>
      </c>
      <c r="B24" s="40" t="s">
        <v>54</v>
      </c>
      <c r="C24" s="2" t="s">
        <v>55</v>
      </c>
      <c r="D24" s="2" t="s">
        <v>56</v>
      </c>
    </row>
    <row r="25" spans="1:7" x14ac:dyDescent="0.3">
      <c r="A25" s="52" t="b">
        <v>1</v>
      </c>
      <c r="B25" s="41" t="s">
        <v>57</v>
      </c>
      <c r="C25" s="4" t="s">
        <v>45</v>
      </c>
      <c r="D25" s="4" t="s">
        <v>57</v>
      </c>
    </row>
    <row r="26" spans="1:7" x14ac:dyDescent="0.3">
      <c r="A26" s="52" t="b">
        <v>1</v>
      </c>
      <c r="B26" s="41" t="s">
        <v>57</v>
      </c>
      <c r="C26" s="4" t="s">
        <v>45</v>
      </c>
      <c r="D26" s="4" t="s">
        <v>57</v>
      </c>
    </row>
    <row r="27" spans="1:7" x14ac:dyDescent="0.3">
      <c r="A27" s="52" t="b">
        <v>1</v>
      </c>
      <c r="B27" s="41" t="s">
        <v>57</v>
      </c>
      <c r="C27" s="4" t="s">
        <v>45</v>
      </c>
      <c r="D27" s="4" t="s">
        <v>57</v>
      </c>
    </row>
    <row r="28" spans="1:7" x14ac:dyDescent="0.3">
      <c r="A28" s="52" t="b">
        <v>1</v>
      </c>
      <c r="B28" s="41" t="s">
        <v>57</v>
      </c>
      <c r="C28" s="4" t="s">
        <v>45</v>
      </c>
      <c r="D28" s="4" t="s">
        <v>57</v>
      </c>
    </row>
    <row r="29" spans="1:7" x14ac:dyDescent="0.3">
      <c r="A29" s="52" t="b">
        <v>1</v>
      </c>
      <c r="B29" s="41" t="s">
        <v>57</v>
      </c>
      <c r="C29" s="4" t="s">
        <v>45</v>
      </c>
      <c r="D29" s="4" t="s">
        <v>57</v>
      </c>
    </row>
    <row r="30" spans="1:7" x14ac:dyDescent="0.3">
      <c r="A30" s="52" t="b">
        <v>1</v>
      </c>
      <c r="B30" s="41" t="s">
        <v>57</v>
      </c>
      <c r="C30" s="4" t="s">
        <v>45</v>
      </c>
      <c r="D30" s="4" t="s">
        <v>57</v>
      </c>
    </row>
    <row r="31" spans="1:7" x14ac:dyDescent="0.3">
      <c r="A31" s="52" t="b">
        <v>1</v>
      </c>
      <c r="B31" s="41" t="s">
        <v>57</v>
      </c>
      <c r="C31" s="4" t="s">
        <v>45</v>
      </c>
      <c r="D31" s="4" t="s">
        <v>57</v>
      </c>
    </row>
    <row r="32" spans="1:7" x14ac:dyDescent="0.3">
      <c r="A32" s="52" t="b">
        <v>1</v>
      </c>
      <c r="B32" s="41" t="s">
        <v>57</v>
      </c>
      <c r="C32" s="4" t="s">
        <v>45</v>
      </c>
      <c r="D32" s="4" t="s">
        <v>57</v>
      </c>
    </row>
    <row r="33" spans="1:7" x14ac:dyDescent="0.3">
      <c r="A33" s="52" t="b">
        <v>1</v>
      </c>
      <c r="B33" s="41" t="s">
        <v>57</v>
      </c>
      <c r="C33" s="4" t="s">
        <v>45</v>
      </c>
      <c r="D33" s="4" t="s">
        <v>57</v>
      </c>
    </row>
    <row r="34" spans="1:7" x14ac:dyDescent="0.3">
      <c r="A34" s="52" t="b">
        <v>1</v>
      </c>
      <c r="B34" s="41" t="s">
        <v>57</v>
      </c>
      <c r="C34" s="4" t="s">
        <v>45</v>
      </c>
      <c r="D34" s="4" t="s">
        <v>57</v>
      </c>
    </row>
    <row r="35" spans="1:7" x14ac:dyDescent="0.3">
      <c r="A35" s="52" t="b">
        <v>1</v>
      </c>
      <c r="B35" s="41" t="s">
        <v>57</v>
      </c>
      <c r="C35" s="4" t="s">
        <v>45</v>
      </c>
      <c r="D35" s="4" t="s">
        <v>57</v>
      </c>
    </row>
    <row r="36" spans="1:7" x14ac:dyDescent="0.3">
      <c r="A36" s="52" t="b">
        <v>1</v>
      </c>
      <c r="B36" s="41" t="s">
        <v>57</v>
      </c>
      <c r="C36" s="4" t="s">
        <v>45</v>
      </c>
      <c r="D36" s="4" t="s">
        <v>57</v>
      </c>
    </row>
    <row r="37" spans="1:7" x14ac:dyDescent="0.3">
      <c r="A37" s="52" t="b">
        <v>1</v>
      </c>
      <c r="B37" s="41" t="s">
        <v>57</v>
      </c>
      <c r="C37" s="4" t="s">
        <v>45</v>
      </c>
      <c r="D37" s="4" t="s">
        <v>57</v>
      </c>
    </row>
    <row r="38" spans="1:7" x14ac:dyDescent="0.3">
      <c r="A38" s="52" t="b">
        <v>1</v>
      </c>
      <c r="B38" s="41" t="s">
        <v>57</v>
      </c>
      <c r="C38" s="4" t="s">
        <v>45</v>
      </c>
      <c r="D38" s="4" t="s">
        <v>57</v>
      </c>
    </row>
    <row r="39" spans="1:7" x14ac:dyDescent="0.3">
      <c r="A39" s="52" t="b">
        <v>1</v>
      </c>
      <c r="B39" s="41" t="s">
        <v>57</v>
      </c>
      <c r="C39" s="4" t="s">
        <v>45</v>
      </c>
      <c r="D39" s="4" t="s">
        <v>57</v>
      </c>
    </row>
    <row r="41" spans="1:7" x14ac:dyDescent="0.3">
      <c r="A41" s="52" t="b">
        <v>1</v>
      </c>
      <c r="B41" s="42" t="s">
        <v>58</v>
      </c>
    </row>
    <row r="42" spans="1:7" x14ac:dyDescent="0.3">
      <c r="A42" s="52" t="b">
        <v>1</v>
      </c>
      <c r="B42" s="36" t="s">
        <v>59</v>
      </c>
      <c r="C42" s="12" t="s">
        <v>60</v>
      </c>
      <c r="D42" s="19" t="s">
        <v>61</v>
      </c>
    </row>
    <row r="43" spans="1:7" x14ac:dyDescent="0.3">
      <c r="A43" s="52" t="b">
        <v>1</v>
      </c>
      <c r="B43" s="36" t="s">
        <v>59</v>
      </c>
      <c r="C43" s="12" t="s">
        <v>60</v>
      </c>
      <c r="D43" s="19" t="s">
        <v>62</v>
      </c>
    </row>
    <row r="44" spans="1:7" x14ac:dyDescent="0.3">
      <c r="A44" s="52" t="b">
        <v>1</v>
      </c>
      <c r="B44" s="36" t="s">
        <v>59</v>
      </c>
      <c r="C44" s="12" t="s">
        <v>60</v>
      </c>
      <c r="D44" s="19" t="s">
        <v>63</v>
      </c>
    </row>
    <row r="45" spans="1:7" x14ac:dyDescent="0.3">
      <c r="A45" s="52" t="b">
        <v>1</v>
      </c>
      <c r="B45" s="36" t="s">
        <v>64</v>
      </c>
      <c r="C45" s="18" t="s">
        <v>33</v>
      </c>
    </row>
    <row r="46" spans="1:7" x14ac:dyDescent="0.3">
      <c r="A46" s="52" t="b">
        <v>1</v>
      </c>
      <c r="B46" s="36" t="s">
        <v>65</v>
      </c>
      <c r="C46" s="12" t="s">
        <v>56</v>
      </c>
    </row>
    <row r="47" spans="1:7" x14ac:dyDescent="0.3">
      <c r="A47" s="52" t="b">
        <v>1</v>
      </c>
      <c r="B47" s="36" t="s">
        <v>66</v>
      </c>
      <c r="C47" s="8" t="s">
        <v>67</v>
      </c>
      <c r="D47" s="1" t="s">
        <v>68</v>
      </c>
      <c r="E47" s="30" t="s">
        <v>56</v>
      </c>
      <c r="F47" s="1" t="s">
        <v>69</v>
      </c>
      <c r="G47" s="30" t="s">
        <v>56</v>
      </c>
    </row>
    <row r="48" spans="1:7" x14ac:dyDescent="0.3">
      <c r="A48" s="52" t="b">
        <v>1</v>
      </c>
      <c r="B48" s="36" t="s">
        <v>66</v>
      </c>
      <c r="C48" s="8" t="s">
        <v>67</v>
      </c>
      <c r="D48" s="1" t="s">
        <v>68</v>
      </c>
      <c r="E48" s="30" t="s">
        <v>56</v>
      </c>
      <c r="F48" s="1" t="s">
        <v>69</v>
      </c>
      <c r="G48" s="30" t="s">
        <v>56</v>
      </c>
    </row>
    <row r="49" spans="1:7" x14ac:dyDescent="0.3">
      <c r="A49" s="52" t="b">
        <v>1</v>
      </c>
      <c r="B49" s="36" t="s">
        <v>66</v>
      </c>
      <c r="C49" s="8" t="s">
        <v>67</v>
      </c>
      <c r="D49" s="1" t="s">
        <v>68</v>
      </c>
      <c r="E49" s="30" t="s">
        <v>56</v>
      </c>
      <c r="F49" s="1" t="s">
        <v>69</v>
      </c>
      <c r="G49" s="30" t="s">
        <v>56</v>
      </c>
    </row>
    <row r="50" spans="1:7" x14ac:dyDescent="0.3">
      <c r="A50" s="52" t="b">
        <v>1</v>
      </c>
      <c r="B50" s="36" t="s">
        <v>70</v>
      </c>
      <c r="C50" s="8" t="s">
        <v>71</v>
      </c>
    </row>
    <row r="51" spans="1:7" x14ac:dyDescent="0.3">
      <c r="A51" s="52" t="b">
        <v>1</v>
      </c>
      <c r="B51" s="51" t="s">
        <v>72</v>
      </c>
      <c r="C51" s="48" t="s">
        <v>73</v>
      </c>
    </row>
    <row r="52" spans="1:7" x14ac:dyDescent="0.3">
      <c r="A52" s="52" t="b">
        <v>1</v>
      </c>
      <c r="B52" s="36" t="s">
        <v>74</v>
      </c>
      <c r="C52" s="8" t="s">
        <v>75</v>
      </c>
      <c r="D52" s="1" t="s">
        <v>68</v>
      </c>
      <c r="E52" s="15" t="s">
        <v>76</v>
      </c>
      <c r="F52" s="1" t="s">
        <v>69</v>
      </c>
      <c r="G52" s="15" t="s">
        <v>76</v>
      </c>
    </row>
    <row r="53" spans="1:7" x14ac:dyDescent="0.3">
      <c r="A53" s="52" t="b">
        <v>1</v>
      </c>
      <c r="B53" s="36" t="s">
        <v>74</v>
      </c>
      <c r="C53" s="8" t="s">
        <v>75</v>
      </c>
      <c r="D53" s="1" t="s">
        <v>68</v>
      </c>
      <c r="E53" s="15" t="s">
        <v>76</v>
      </c>
      <c r="F53" s="1" t="s">
        <v>69</v>
      </c>
      <c r="G53" s="15" t="s">
        <v>76</v>
      </c>
    </row>
    <row r="54" spans="1:7" x14ac:dyDescent="0.3">
      <c r="A54" s="52" t="b">
        <v>1</v>
      </c>
      <c r="B54" s="36" t="s">
        <v>77</v>
      </c>
      <c r="C54" s="8" t="s">
        <v>78</v>
      </c>
      <c r="D54" s="1" t="s">
        <v>68</v>
      </c>
      <c r="E54" s="15" t="s">
        <v>79</v>
      </c>
      <c r="F54" s="1" t="s">
        <v>69</v>
      </c>
      <c r="G54" s="15" t="s">
        <v>79</v>
      </c>
    </row>
    <row r="55" spans="1:7" x14ac:dyDescent="0.3">
      <c r="A55" s="52" t="b">
        <v>1</v>
      </c>
      <c r="B55" s="36" t="s">
        <v>77</v>
      </c>
      <c r="C55" s="8" t="s">
        <v>78</v>
      </c>
      <c r="D55" s="1" t="s">
        <v>68</v>
      </c>
      <c r="E55" s="15" t="s">
        <v>79</v>
      </c>
      <c r="F55" s="1" t="s">
        <v>69</v>
      </c>
      <c r="G55" s="15" t="s">
        <v>79</v>
      </c>
    </row>
    <row r="56" spans="1:7" x14ac:dyDescent="0.3">
      <c r="A56" s="52" t="b">
        <v>1</v>
      </c>
      <c r="B56" s="36" t="s">
        <v>80</v>
      </c>
      <c r="C56" s="8" t="s">
        <v>81</v>
      </c>
      <c r="D56" s="1" t="s">
        <v>68</v>
      </c>
      <c r="E56" s="15" t="s">
        <v>82</v>
      </c>
      <c r="F56" s="1" t="s">
        <v>69</v>
      </c>
      <c r="G56" s="15" t="s">
        <v>82</v>
      </c>
    </row>
    <row r="57" spans="1:7" x14ac:dyDescent="0.3">
      <c r="A57" s="52" t="b">
        <v>1</v>
      </c>
      <c r="B57" s="36" t="s">
        <v>80</v>
      </c>
      <c r="C57" s="8" t="s">
        <v>81</v>
      </c>
      <c r="D57" s="1" t="s">
        <v>68</v>
      </c>
      <c r="E57" s="15" t="s">
        <v>82</v>
      </c>
      <c r="F57" s="1" t="s">
        <v>69</v>
      </c>
      <c r="G57" s="15" t="s">
        <v>82</v>
      </c>
    </row>
    <row r="58" spans="1:7" x14ac:dyDescent="0.3">
      <c r="A58" s="52" t="b">
        <v>1</v>
      </c>
      <c r="B58" s="36" t="s">
        <v>80</v>
      </c>
      <c r="C58" s="8" t="s">
        <v>81</v>
      </c>
      <c r="D58" s="1" t="s">
        <v>68</v>
      </c>
      <c r="E58" s="15" t="s">
        <v>82</v>
      </c>
      <c r="F58" s="1" t="s">
        <v>69</v>
      </c>
      <c r="G58" s="15" t="s">
        <v>82</v>
      </c>
    </row>
    <row r="59" spans="1:7" x14ac:dyDescent="0.3">
      <c r="A59" s="52" t="b">
        <v>1</v>
      </c>
      <c r="B59" s="36" t="s">
        <v>83</v>
      </c>
      <c r="C59" s="12" t="s">
        <v>84</v>
      </c>
    </row>
    <row r="60" spans="1:7" x14ac:dyDescent="0.3">
      <c r="A60" s="52" t="b">
        <v>1</v>
      </c>
      <c r="B60" s="36" t="s">
        <v>85</v>
      </c>
      <c r="C60" s="12" t="s">
        <v>84</v>
      </c>
      <c r="D60" s="8" t="s">
        <v>56</v>
      </c>
    </row>
    <row r="61" spans="1:7" x14ac:dyDescent="0.3">
      <c r="A61" s="52" t="b">
        <v>1</v>
      </c>
      <c r="B61" s="36" t="s">
        <v>86</v>
      </c>
      <c r="C61" s="12" t="s">
        <v>56</v>
      </c>
      <c r="D61" s="22" t="s">
        <v>87</v>
      </c>
      <c r="E61" s="3" t="s">
        <v>88</v>
      </c>
    </row>
    <row r="62" spans="1:7" x14ac:dyDescent="0.3">
      <c r="A62" s="52" t="b">
        <v>1</v>
      </c>
      <c r="B62" s="36" t="s">
        <v>89</v>
      </c>
      <c r="C62" s="25" t="s">
        <v>90</v>
      </c>
    </row>
    <row r="63" spans="1:7" x14ac:dyDescent="0.3">
      <c r="A63" s="52" t="b">
        <v>1</v>
      </c>
      <c r="B63" s="36" t="s">
        <v>91</v>
      </c>
      <c r="C63" s="8" t="s">
        <v>92</v>
      </c>
      <c r="D63" s="49" t="s">
        <v>93</v>
      </c>
      <c r="E63" s="8" t="s">
        <v>94</v>
      </c>
    </row>
    <row r="64" spans="1:7" x14ac:dyDescent="0.3">
      <c r="A64" s="52" t="b">
        <v>1</v>
      </c>
      <c r="B64" s="36" t="s">
        <v>95</v>
      </c>
      <c r="C64" s="8" t="s">
        <v>96</v>
      </c>
    </row>
    <row r="65" spans="1:4" x14ac:dyDescent="0.3">
      <c r="A65" s="52" t="b">
        <v>1</v>
      </c>
      <c r="B65" s="36" t="s">
        <v>97</v>
      </c>
      <c r="C65" s="8" t="s">
        <v>98</v>
      </c>
    </row>
    <row r="66" spans="1:4" x14ac:dyDescent="0.3">
      <c r="A66" s="52" t="b">
        <v>1</v>
      </c>
      <c r="B66" s="36" t="s">
        <v>99</v>
      </c>
      <c r="C66" s="12" t="s">
        <v>100</v>
      </c>
    </row>
    <row r="67" spans="1:4" x14ac:dyDescent="0.3">
      <c r="A67" s="52" t="b">
        <v>1</v>
      </c>
      <c r="B67" s="36" t="s">
        <v>101</v>
      </c>
      <c r="C67" s="12" t="s">
        <v>61</v>
      </c>
      <c r="D67" s="3" t="s">
        <v>102</v>
      </c>
    </row>
    <row r="68" spans="1:4" x14ac:dyDescent="0.3">
      <c r="A68" s="52" t="b">
        <v>1</v>
      </c>
      <c r="B68" s="36" t="s">
        <v>101</v>
      </c>
      <c r="C68" s="12" t="s">
        <v>62</v>
      </c>
      <c r="D68" s="3" t="s">
        <v>102</v>
      </c>
    </row>
    <row r="69" spans="1:4" x14ac:dyDescent="0.3">
      <c r="A69" s="52" t="b">
        <v>1</v>
      </c>
      <c r="B69" s="36" t="s">
        <v>101</v>
      </c>
      <c r="C69" s="11" t="s">
        <v>63</v>
      </c>
      <c r="D69" s="3" t="s">
        <v>102</v>
      </c>
    </row>
    <row r="70" spans="1:4" x14ac:dyDescent="0.3">
      <c r="A70" s="52" t="b">
        <v>1</v>
      </c>
      <c r="B70" s="36" t="s">
        <v>103</v>
      </c>
      <c r="C70" s="8" t="s">
        <v>104</v>
      </c>
      <c r="D70" s="3" t="s">
        <v>105</v>
      </c>
    </row>
    <row r="71" spans="1:4" x14ac:dyDescent="0.3">
      <c r="A71" s="52" t="b">
        <v>1</v>
      </c>
      <c r="B71" s="36" t="s">
        <v>106</v>
      </c>
    </row>
    <row r="72" spans="1:4" x14ac:dyDescent="0.3">
      <c r="A72" s="52" t="b">
        <v>1</v>
      </c>
      <c r="B72" s="36" t="s">
        <v>107</v>
      </c>
      <c r="C72" s="25" t="s">
        <v>90</v>
      </c>
    </row>
    <row r="73" spans="1:4" x14ac:dyDescent="0.3">
      <c r="A73" s="52" t="b">
        <v>1</v>
      </c>
      <c r="B73" s="36" t="s">
        <v>108</v>
      </c>
      <c r="C73" s="12" t="s">
        <v>90</v>
      </c>
    </row>
    <row r="74" spans="1:4" x14ac:dyDescent="0.3">
      <c r="A74" s="52" t="b">
        <v>1</v>
      </c>
      <c r="B74" s="36" t="s">
        <v>109</v>
      </c>
      <c r="C74" s="12" t="s">
        <v>56</v>
      </c>
    </row>
    <row r="75" spans="1:4" x14ac:dyDescent="0.3">
      <c r="A75" s="52" t="b">
        <v>1</v>
      </c>
      <c r="B75" s="36" t="s">
        <v>110</v>
      </c>
      <c r="C75" s="12" t="s">
        <v>56</v>
      </c>
    </row>
    <row r="76" spans="1:4" x14ac:dyDescent="0.3">
      <c r="A76" s="52" t="b">
        <v>1</v>
      </c>
      <c r="B76" s="36" t="s">
        <v>111</v>
      </c>
    </row>
    <row r="77" spans="1:4" x14ac:dyDescent="0.3">
      <c r="A77" s="52" t="b">
        <v>1</v>
      </c>
      <c r="B77" s="36" t="s">
        <v>112</v>
      </c>
      <c r="C77" s="12" t="s">
        <v>90</v>
      </c>
    </row>
    <row r="78" spans="1:4" x14ac:dyDescent="0.3">
      <c r="A78" s="52" t="b">
        <v>1</v>
      </c>
      <c r="B78" s="36" t="s">
        <v>113</v>
      </c>
      <c r="C78" s="27" t="s">
        <v>52</v>
      </c>
    </row>
    <row r="79" spans="1:4" x14ac:dyDescent="0.3">
      <c r="A79" s="52" t="b">
        <v>1</v>
      </c>
      <c r="B79" s="36" t="s">
        <v>114</v>
      </c>
      <c r="C79" s="29" t="s">
        <v>115</v>
      </c>
    </row>
    <row r="80" spans="1:4" x14ac:dyDescent="0.3">
      <c r="A80" s="52" t="b">
        <v>1</v>
      </c>
      <c r="B80" s="36" t="s">
        <v>116</v>
      </c>
      <c r="C80" s="50" t="s">
        <v>117</v>
      </c>
      <c r="D80" s="14" t="s">
        <v>118</v>
      </c>
    </row>
    <row r="81" spans="1:4" x14ac:dyDescent="0.3">
      <c r="A81" s="52" t="b">
        <v>0</v>
      </c>
      <c r="B81" s="43" t="s">
        <v>119</v>
      </c>
      <c r="C81" s="12"/>
      <c r="D81" s="24"/>
    </row>
    <row r="82" spans="1:4" x14ac:dyDescent="0.3">
      <c r="A82" s="52" t="b">
        <v>0</v>
      </c>
      <c r="B82" s="43" t="s">
        <v>119</v>
      </c>
      <c r="C82" s="12"/>
      <c r="D82" s="24"/>
    </row>
    <row r="83" spans="1:4" x14ac:dyDescent="0.3">
      <c r="A83" s="52" t="b">
        <v>0</v>
      </c>
      <c r="B83" s="43" t="s">
        <v>119</v>
      </c>
      <c r="C83" s="12"/>
      <c r="D83" s="24"/>
    </row>
    <row r="84" spans="1:4" x14ac:dyDescent="0.3">
      <c r="A84" s="52" t="b">
        <v>0</v>
      </c>
      <c r="B84" s="43" t="s">
        <v>119</v>
      </c>
      <c r="C84" s="12"/>
      <c r="D84" s="24"/>
    </row>
    <row r="85" spans="1:4" x14ac:dyDescent="0.3">
      <c r="A85" s="52" t="b">
        <v>0</v>
      </c>
      <c r="B85" s="43" t="s">
        <v>119</v>
      </c>
      <c r="C85" s="12"/>
      <c r="D85" s="24"/>
    </row>
    <row r="86" spans="1:4" x14ac:dyDescent="0.3">
      <c r="A86" s="52" t="b">
        <v>0</v>
      </c>
      <c r="B86" s="43" t="s">
        <v>119</v>
      </c>
      <c r="C86" s="12"/>
      <c r="D86" s="24"/>
    </row>
    <row r="87" spans="1:4" x14ac:dyDescent="0.3">
      <c r="A87" s="52" t="b">
        <v>0</v>
      </c>
      <c r="B87" s="43" t="s">
        <v>119</v>
      </c>
      <c r="C87" s="12"/>
      <c r="D87" s="24"/>
    </row>
    <row r="88" spans="1:4" x14ac:dyDescent="0.3">
      <c r="A88" s="52" t="b">
        <v>0</v>
      </c>
      <c r="B88" s="43" t="s">
        <v>119</v>
      </c>
      <c r="C88" s="12"/>
      <c r="D88" s="24"/>
    </row>
    <row r="89" spans="1:4" x14ac:dyDescent="0.3">
      <c r="A89" s="52" t="b">
        <v>0</v>
      </c>
      <c r="B89" s="43" t="s">
        <v>119</v>
      </c>
      <c r="C89" s="12"/>
      <c r="D89" s="24"/>
    </row>
    <row r="90" spans="1:4" x14ac:dyDescent="0.3">
      <c r="A90" s="52" t="b">
        <v>0</v>
      </c>
      <c r="B90" s="43" t="s">
        <v>119</v>
      </c>
      <c r="C90" s="12"/>
      <c r="D90" s="24"/>
    </row>
    <row r="91" spans="1:4" x14ac:dyDescent="0.3">
      <c r="B91" s="44" t="s">
        <v>120</v>
      </c>
    </row>
    <row r="92" spans="1:4" x14ac:dyDescent="0.3">
      <c r="A92" s="52" t="b">
        <v>0</v>
      </c>
      <c r="B92" s="36" t="s">
        <v>121</v>
      </c>
    </row>
    <row r="93" spans="1:4" x14ac:dyDescent="0.3">
      <c r="A93" s="52" t="b">
        <v>0</v>
      </c>
      <c r="B93" s="43" t="s">
        <v>122</v>
      </c>
    </row>
    <row r="94" spans="1:4" x14ac:dyDescent="0.3">
      <c r="A94" s="52" t="b">
        <v>0</v>
      </c>
      <c r="B94" s="43" t="s">
        <v>123</v>
      </c>
    </row>
    <row r="95" spans="1:4" x14ac:dyDescent="0.3">
      <c r="A95" s="52" t="b">
        <v>0</v>
      </c>
      <c r="B95" s="43" t="s">
        <v>124</v>
      </c>
    </row>
    <row r="96" spans="1:4" x14ac:dyDescent="0.3">
      <c r="A96" s="52" t="b">
        <v>0</v>
      </c>
      <c r="B96" s="43" t="s">
        <v>125</v>
      </c>
    </row>
    <row r="97" spans="1:9" x14ac:dyDescent="0.3">
      <c r="A97" s="52" t="b">
        <v>0</v>
      </c>
      <c r="B97" s="43" t="s">
        <v>126</v>
      </c>
    </row>
    <row r="98" spans="1:9" x14ac:dyDescent="0.3">
      <c r="A98" s="52" t="b">
        <v>0</v>
      </c>
      <c r="B98" s="43" t="s">
        <v>127</v>
      </c>
    </row>
    <row r="99" spans="1:9" x14ac:dyDescent="0.3">
      <c r="A99" s="52" t="b">
        <v>0</v>
      </c>
      <c r="B99" s="43" t="s">
        <v>128</v>
      </c>
    </row>
    <row r="100" spans="1:9" x14ac:dyDescent="0.3">
      <c r="A100" s="52" t="b">
        <v>0</v>
      </c>
      <c r="B100" s="43" t="s">
        <v>129</v>
      </c>
    </row>
    <row r="101" spans="1:9" x14ac:dyDescent="0.3">
      <c r="A101" s="52" t="b">
        <v>0</v>
      </c>
      <c r="B101" s="43" t="s">
        <v>130</v>
      </c>
    </row>
    <row r="102" spans="1:9" x14ac:dyDescent="0.3">
      <c r="A102" s="52" t="b">
        <v>0</v>
      </c>
      <c r="B102" s="43" t="s">
        <v>131</v>
      </c>
    </row>
    <row r="103" spans="1:9" x14ac:dyDescent="0.3">
      <c r="A103" s="52" t="b">
        <v>0</v>
      </c>
      <c r="B103" s="43" t="s">
        <v>132</v>
      </c>
    </row>
    <row r="104" spans="1:9" x14ac:dyDescent="0.3">
      <c r="A104" s="52" t="b">
        <v>0</v>
      </c>
      <c r="B104" s="43" t="s">
        <v>133</v>
      </c>
    </row>
    <row r="106" spans="1:9" x14ac:dyDescent="0.3">
      <c r="A106" s="52" t="b">
        <v>1</v>
      </c>
      <c r="B106" s="45" t="s">
        <v>134</v>
      </c>
    </row>
    <row r="107" spans="1:9" x14ac:dyDescent="0.3">
      <c r="A107" s="52" t="b">
        <v>1</v>
      </c>
      <c r="B107" s="36" t="s">
        <v>28</v>
      </c>
    </row>
    <row r="108" spans="1:9" x14ac:dyDescent="0.3">
      <c r="A108" s="52" t="b">
        <v>1</v>
      </c>
      <c r="B108" s="36" t="s">
        <v>59</v>
      </c>
      <c r="C108" s="8" t="s">
        <v>60</v>
      </c>
      <c r="D108" s="30" t="s">
        <v>56</v>
      </c>
      <c r="I108" s="53" t="s">
        <v>135</v>
      </c>
    </row>
    <row r="109" spans="1:9" x14ac:dyDescent="0.3">
      <c r="A109" s="52" t="b">
        <v>1</v>
      </c>
      <c r="B109" s="36" t="s">
        <v>59</v>
      </c>
      <c r="C109" s="8" t="s">
        <v>60</v>
      </c>
      <c r="D109" s="30" t="s">
        <v>56</v>
      </c>
      <c r="I109" s="53" t="s">
        <v>135</v>
      </c>
    </row>
    <row r="110" spans="1:9" x14ac:dyDescent="0.3">
      <c r="A110" s="52" t="b">
        <v>1</v>
      </c>
      <c r="B110" s="36" t="s">
        <v>59</v>
      </c>
      <c r="C110" s="8" t="s">
        <v>60</v>
      </c>
      <c r="D110" s="30" t="s">
        <v>56</v>
      </c>
      <c r="I110" s="53" t="s">
        <v>135</v>
      </c>
    </row>
    <row r="111" spans="1:9" x14ac:dyDescent="0.3">
      <c r="A111" s="52" t="b">
        <v>1</v>
      </c>
      <c r="B111" s="36" t="s">
        <v>64</v>
      </c>
      <c r="C111" s="3" t="s">
        <v>33</v>
      </c>
      <c r="I111" s="53" t="s">
        <v>135</v>
      </c>
    </row>
    <row r="112" spans="1:9" x14ac:dyDescent="0.3">
      <c r="A112" s="52" t="b">
        <v>1</v>
      </c>
      <c r="B112" s="36" t="s">
        <v>136</v>
      </c>
      <c r="C112" s="8" t="s">
        <v>56</v>
      </c>
      <c r="D112" s="9"/>
      <c r="I112" s="53" t="s">
        <v>137</v>
      </c>
    </row>
    <row r="113" spans="1:9" x14ac:dyDescent="0.3">
      <c r="A113" s="52" t="b">
        <v>1</v>
      </c>
      <c r="B113" s="36" t="s">
        <v>138</v>
      </c>
      <c r="C113" s="8" t="s">
        <v>139</v>
      </c>
      <c r="I113" s="53" t="s">
        <v>137</v>
      </c>
    </row>
    <row r="114" spans="1:9" x14ac:dyDescent="0.3">
      <c r="A114" s="52" t="b">
        <v>1</v>
      </c>
      <c r="B114" s="36" t="s">
        <v>65</v>
      </c>
      <c r="C114" s="12" t="s">
        <v>56</v>
      </c>
      <c r="I114" s="53" t="s">
        <v>135</v>
      </c>
    </row>
    <row r="115" spans="1:9" x14ac:dyDescent="0.3">
      <c r="A115" s="52" t="b">
        <v>1</v>
      </c>
      <c r="B115" s="36" t="s">
        <v>74</v>
      </c>
      <c r="C115" s="8" t="s">
        <v>75</v>
      </c>
      <c r="D115" s="1" t="s">
        <v>140</v>
      </c>
      <c r="E115" s="15" t="s">
        <v>76</v>
      </c>
      <c r="F115" s="1" t="s">
        <v>141</v>
      </c>
      <c r="G115" s="15" t="s">
        <v>76</v>
      </c>
      <c r="I115" s="53" t="s">
        <v>142</v>
      </c>
    </row>
    <row r="116" spans="1:9" x14ac:dyDescent="0.3">
      <c r="A116" s="52" t="b">
        <v>1</v>
      </c>
      <c r="B116" s="36" t="s">
        <v>74</v>
      </c>
      <c r="C116" s="8" t="s">
        <v>75</v>
      </c>
      <c r="D116" s="1" t="s">
        <v>140</v>
      </c>
      <c r="E116" s="15" t="s">
        <v>76</v>
      </c>
      <c r="F116" s="1" t="s">
        <v>141</v>
      </c>
      <c r="G116" s="15" t="s">
        <v>76</v>
      </c>
      <c r="I116" s="53" t="s">
        <v>142</v>
      </c>
    </row>
    <row r="117" spans="1:9" x14ac:dyDescent="0.3">
      <c r="A117" s="52" t="b">
        <v>1</v>
      </c>
      <c r="B117" s="36" t="s">
        <v>77</v>
      </c>
      <c r="C117" s="8" t="s">
        <v>78</v>
      </c>
      <c r="D117" s="1" t="s">
        <v>140</v>
      </c>
      <c r="E117" s="15" t="s">
        <v>79</v>
      </c>
      <c r="F117" s="15" t="s">
        <v>76</v>
      </c>
      <c r="G117" s="1" t="s">
        <v>141</v>
      </c>
      <c r="H117" s="15" t="s">
        <v>79</v>
      </c>
      <c r="I117" s="53" t="s">
        <v>142</v>
      </c>
    </row>
    <row r="118" spans="1:9" x14ac:dyDescent="0.3">
      <c r="A118" s="52" t="b">
        <v>1</v>
      </c>
      <c r="B118" s="36" t="s">
        <v>77</v>
      </c>
      <c r="C118" s="8" t="s">
        <v>78</v>
      </c>
      <c r="D118" s="1" t="s">
        <v>140</v>
      </c>
      <c r="E118" s="15" t="s">
        <v>79</v>
      </c>
      <c r="F118" s="15" t="s">
        <v>76</v>
      </c>
      <c r="G118" s="1" t="s">
        <v>141</v>
      </c>
      <c r="H118" s="15" t="s">
        <v>79</v>
      </c>
      <c r="I118" s="53" t="s">
        <v>142</v>
      </c>
    </row>
    <row r="119" spans="1:9" x14ac:dyDescent="0.3">
      <c r="A119" s="52" t="b">
        <v>1</v>
      </c>
      <c r="B119" s="36" t="s">
        <v>80</v>
      </c>
      <c r="C119" s="8" t="s">
        <v>81</v>
      </c>
      <c r="D119" s="1" t="s">
        <v>140</v>
      </c>
      <c r="E119" s="15" t="s">
        <v>82</v>
      </c>
      <c r="F119" s="1" t="s">
        <v>141</v>
      </c>
      <c r="G119" s="15" t="s">
        <v>82</v>
      </c>
      <c r="I119" s="53" t="s">
        <v>143</v>
      </c>
    </row>
    <row r="120" spans="1:9" x14ac:dyDescent="0.3">
      <c r="A120" s="52" t="b">
        <v>1</v>
      </c>
      <c r="B120" s="36" t="s">
        <v>80</v>
      </c>
      <c r="C120" s="8" t="s">
        <v>81</v>
      </c>
      <c r="D120" s="1" t="s">
        <v>140</v>
      </c>
      <c r="E120" s="15" t="s">
        <v>82</v>
      </c>
      <c r="F120" s="1" t="s">
        <v>141</v>
      </c>
      <c r="G120" s="15" t="s">
        <v>82</v>
      </c>
      <c r="I120" s="53" t="s">
        <v>143</v>
      </c>
    </row>
    <row r="121" spans="1:9" x14ac:dyDescent="0.3">
      <c r="A121" s="52" t="b">
        <v>1</v>
      </c>
      <c r="B121" s="36" t="s">
        <v>80</v>
      </c>
      <c r="C121" s="8" t="s">
        <v>81</v>
      </c>
      <c r="D121" s="1" t="s">
        <v>140</v>
      </c>
      <c r="E121" s="15" t="s">
        <v>82</v>
      </c>
      <c r="F121" s="1" t="s">
        <v>141</v>
      </c>
      <c r="G121" s="15" t="s">
        <v>82</v>
      </c>
      <c r="I121" s="53" t="s">
        <v>143</v>
      </c>
    </row>
    <row r="122" spans="1:9" x14ac:dyDescent="0.3">
      <c r="A122" s="52" t="b">
        <v>1</v>
      </c>
      <c r="B122" s="36" t="s">
        <v>83</v>
      </c>
      <c r="C122" s="12" t="s">
        <v>84</v>
      </c>
      <c r="I122" s="53" t="s">
        <v>144</v>
      </c>
    </row>
    <row r="123" spans="1:9" x14ac:dyDescent="0.3">
      <c r="A123" s="52" t="b">
        <v>1</v>
      </c>
      <c r="B123" s="36" t="s">
        <v>85</v>
      </c>
      <c r="C123" s="12" t="s">
        <v>84</v>
      </c>
      <c r="D123" s="48" t="s">
        <v>56</v>
      </c>
      <c r="I123" s="53" t="s">
        <v>142</v>
      </c>
    </row>
    <row r="124" spans="1:9" x14ac:dyDescent="0.3">
      <c r="A124" s="52" t="b">
        <v>1</v>
      </c>
      <c r="B124" s="36" t="s">
        <v>86</v>
      </c>
      <c r="C124" s="8" t="s">
        <v>56</v>
      </c>
      <c r="D124" s="26"/>
      <c r="E124" s="26"/>
      <c r="I124" s="53" t="s">
        <v>145</v>
      </c>
    </row>
    <row r="125" spans="1:9" x14ac:dyDescent="0.3">
      <c r="A125" s="52" t="b">
        <v>1</v>
      </c>
      <c r="B125" s="36" t="s">
        <v>89</v>
      </c>
      <c r="C125" s="8" t="s">
        <v>90</v>
      </c>
      <c r="I125" s="53" t="s">
        <v>142</v>
      </c>
    </row>
    <row r="126" spans="1:9" x14ac:dyDescent="0.3">
      <c r="A126" s="52" t="b">
        <v>1</v>
      </c>
      <c r="B126" s="36" t="s">
        <v>91</v>
      </c>
      <c r="C126" s="8" t="s">
        <v>92</v>
      </c>
      <c r="I126" s="53" t="s">
        <v>135</v>
      </c>
    </row>
    <row r="127" spans="1:9" x14ac:dyDescent="0.3">
      <c r="A127" s="52" t="b">
        <v>1</v>
      </c>
      <c r="B127" s="36" t="s">
        <v>95</v>
      </c>
      <c r="C127" s="8" t="s">
        <v>96</v>
      </c>
      <c r="I127" s="53" t="s">
        <v>135</v>
      </c>
    </row>
    <row r="128" spans="1:9" x14ac:dyDescent="0.3">
      <c r="A128" s="52" t="b">
        <v>1</v>
      </c>
      <c r="B128" s="36" t="s">
        <v>97</v>
      </c>
      <c r="C128" s="8" t="s">
        <v>98</v>
      </c>
      <c r="I128" s="53" t="s">
        <v>135</v>
      </c>
    </row>
    <row r="129" spans="1:9" x14ac:dyDescent="0.3">
      <c r="A129" s="52" t="b">
        <v>1</v>
      </c>
      <c r="B129" s="36" t="s">
        <v>99</v>
      </c>
      <c r="C129" s="8" t="s">
        <v>100</v>
      </c>
      <c r="I129" s="53" t="s">
        <v>135</v>
      </c>
    </row>
    <row r="130" spans="1:9" x14ac:dyDescent="0.3">
      <c r="A130" s="52" t="b">
        <v>1</v>
      </c>
      <c r="B130" s="36" t="s">
        <v>146</v>
      </c>
      <c r="C130" s="8" t="s">
        <v>104</v>
      </c>
      <c r="D130" s="30" t="s">
        <v>105</v>
      </c>
      <c r="E130" s="32" t="s">
        <v>147</v>
      </c>
      <c r="I130" s="53" t="s">
        <v>135</v>
      </c>
    </row>
    <row r="131" spans="1:9" x14ac:dyDescent="0.3">
      <c r="A131" s="52" t="b">
        <v>1</v>
      </c>
      <c r="B131" s="36" t="s">
        <v>146</v>
      </c>
      <c r="C131" s="8" t="s">
        <v>104</v>
      </c>
      <c r="D131" s="30" t="s">
        <v>105</v>
      </c>
      <c r="E131" s="32" t="s">
        <v>148</v>
      </c>
      <c r="I131" s="53" t="s">
        <v>143</v>
      </c>
    </row>
    <row r="132" spans="1:9" x14ac:dyDescent="0.3">
      <c r="A132" s="52" t="b">
        <v>1</v>
      </c>
      <c r="B132" s="36" t="s">
        <v>149</v>
      </c>
      <c r="C132" s="8" t="s">
        <v>56</v>
      </c>
      <c r="D132" s="32" t="s">
        <v>147</v>
      </c>
      <c r="E132" s="7"/>
      <c r="I132" s="53" t="s">
        <v>135</v>
      </c>
    </row>
    <row r="133" spans="1:9" x14ac:dyDescent="0.3">
      <c r="A133" s="52" t="b">
        <v>1</v>
      </c>
      <c r="B133" s="36" t="s">
        <v>149</v>
      </c>
      <c r="C133" s="8" t="s">
        <v>56</v>
      </c>
      <c r="D133" s="32" t="s">
        <v>150</v>
      </c>
      <c r="E133" s="7"/>
      <c r="I133" s="53" t="s">
        <v>135</v>
      </c>
    </row>
    <row r="134" spans="1:9" x14ac:dyDescent="0.3">
      <c r="A134" s="52" t="b">
        <v>1</v>
      </c>
      <c r="B134" s="36" t="s">
        <v>149</v>
      </c>
      <c r="C134" s="8" t="s">
        <v>56</v>
      </c>
      <c r="D134" s="32" t="s">
        <v>147</v>
      </c>
      <c r="E134" s="7"/>
      <c r="I134" s="53" t="s">
        <v>135</v>
      </c>
    </row>
    <row r="135" spans="1:9" x14ac:dyDescent="0.3">
      <c r="A135" s="52" t="b">
        <v>1</v>
      </c>
      <c r="B135" s="36" t="s">
        <v>149</v>
      </c>
      <c r="C135" s="8" t="s">
        <v>56</v>
      </c>
      <c r="D135" s="32" t="s">
        <v>150</v>
      </c>
      <c r="E135" s="7"/>
      <c r="I135" s="53" t="s">
        <v>135</v>
      </c>
    </row>
    <row r="136" spans="1:9" x14ac:dyDescent="0.3">
      <c r="A136" s="52" t="b">
        <v>1</v>
      </c>
      <c r="B136" s="36" t="s">
        <v>106</v>
      </c>
      <c r="C136" s="21"/>
      <c r="I136" s="53" t="s">
        <v>143</v>
      </c>
    </row>
    <row r="137" spans="1:9" x14ac:dyDescent="0.3">
      <c r="A137" s="52" t="b">
        <v>1</v>
      </c>
      <c r="B137" s="36" t="s">
        <v>151</v>
      </c>
      <c r="C137" s="8" t="s">
        <v>90</v>
      </c>
      <c r="I137" s="53" t="s">
        <v>142</v>
      </c>
    </row>
    <row r="138" spans="1:9" x14ac:dyDescent="0.3">
      <c r="A138" s="52" t="b">
        <v>1</v>
      </c>
      <c r="B138" s="36" t="s">
        <v>108</v>
      </c>
      <c r="C138" s="8" t="s">
        <v>90</v>
      </c>
      <c r="I138" s="53" t="s">
        <v>135</v>
      </c>
    </row>
    <row r="139" spans="1:9" x14ac:dyDescent="0.3">
      <c r="A139" s="52" t="b">
        <v>1</v>
      </c>
      <c r="B139" s="36" t="s">
        <v>109</v>
      </c>
      <c r="C139" s="8" t="s">
        <v>56</v>
      </c>
      <c r="I139" s="53" t="s">
        <v>135</v>
      </c>
    </row>
    <row r="140" spans="1:9" x14ac:dyDescent="0.3">
      <c r="A140" s="52" t="b">
        <v>1</v>
      </c>
      <c r="B140" s="36" t="s">
        <v>110</v>
      </c>
      <c r="C140" s="8" t="s">
        <v>56</v>
      </c>
      <c r="I140" s="53" t="s">
        <v>135</v>
      </c>
    </row>
    <row r="141" spans="1:9" x14ac:dyDescent="0.3">
      <c r="A141" s="52" t="b">
        <v>1</v>
      </c>
      <c r="B141" s="36" t="s">
        <v>152</v>
      </c>
      <c r="C141" s="8" t="s">
        <v>56</v>
      </c>
      <c r="I141" s="53" t="s">
        <v>135</v>
      </c>
    </row>
    <row r="142" spans="1:9" x14ac:dyDescent="0.3">
      <c r="A142" s="52" t="b">
        <v>1</v>
      </c>
      <c r="B142" s="36" t="s">
        <v>111</v>
      </c>
      <c r="C142" s="20"/>
      <c r="I142" s="53" t="s">
        <v>135</v>
      </c>
    </row>
    <row r="143" spans="1:9" x14ac:dyDescent="0.3">
      <c r="A143" s="52" t="b">
        <v>1</v>
      </c>
      <c r="B143" s="36" t="s">
        <v>153</v>
      </c>
      <c r="C143" s="3" t="s">
        <v>52</v>
      </c>
      <c r="I143" s="53" t="s">
        <v>135</v>
      </c>
    </row>
    <row r="144" spans="1:9" x14ac:dyDescent="0.3">
      <c r="A144" s="52" t="b">
        <v>1</v>
      </c>
      <c r="B144" s="36" t="s">
        <v>154</v>
      </c>
      <c r="C144" s="3" t="s">
        <v>52</v>
      </c>
      <c r="I144" s="53" t="s">
        <v>137</v>
      </c>
    </row>
    <row r="145" spans="1:9" x14ac:dyDescent="0.3">
      <c r="A145" s="52" t="b">
        <v>1</v>
      </c>
      <c r="B145" s="36" t="s">
        <v>155</v>
      </c>
      <c r="C145" s="3" t="s">
        <v>156</v>
      </c>
      <c r="D145" s="27" t="s">
        <v>52</v>
      </c>
      <c r="I145" s="53" t="s">
        <v>137</v>
      </c>
    </row>
    <row r="146" spans="1:9" x14ac:dyDescent="0.3">
      <c r="A146" s="52" t="b">
        <v>1</v>
      </c>
      <c r="B146" s="36" t="s">
        <v>157</v>
      </c>
      <c r="C146" s="8" t="s">
        <v>90</v>
      </c>
      <c r="D146" s="31" t="s">
        <v>158</v>
      </c>
      <c r="I146" s="53" t="s">
        <v>135</v>
      </c>
    </row>
    <row r="147" spans="1:9" x14ac:dyDescent="0.3">
      <c r="A147" s="52" t="b">
        <v>1</v>
      </c>
      <c r="B147" s="36" t="s">
        <v>112</v>
      </c>
      <c r="C147" s="8" t="s">
        <v>90</v>
      </c>
      <c r="D147" s="9"/>
      <c r="I147" s="53" t="s">
        <v>135</v>
      </c>
    </row>
    <row r="148" spans="1:9" x14ac:dyDescent="0.3">
      <c r="A148" s="52" t="b">
        <v>1</v>
      </c>
      <c r="B148" s="36" t="s">
        <v>159</v>
      </c>
      <c r="C148" s="23" t="s">
        <v>160</v>
      </c>
      <c r="D148" s="3" t="s">
        <v>56</v>
      </c>
      <c r="E148" s="9"/>
      <c r="I148" s="53" t="s">
        <v>143</v>
      </c>
    </row>
    <row r="149" spans="1:9" x14ac:dyDescent="0.3">
      <c r="A149" s="52" t="b">
        <v>1</v>
      </c>
      <c r="B149" s="36" t="s">
        <v>161</v>
      </c>
      <c r="C149" s="23" t="s">
        <v>160</v>
      </c>
      <c r="D149" s="3" t="s">
        <v>56</v>
      </c>
      <c r="E149" s="9"/>
      <c r="I149" s="53" t="s">
        <v>143</v>
      </c>
    </row>
    <row r="150" spans="1:9" x14ac:dyDescent="0.3">
      <c r="A150" s="52" t="b">
        <v>1</v>
      </c>
      <c r="B150" s="36" t="s">
        <v>162</v>
      </c>
      <c r="C150" s="23" t="s">
        <v>160</v>
      </c>
      <c r="D150" s="3" t="s">
        <v>56</v>
      </c>
      <c r="E150" s="9"/>
      <c r="I150" s="53" t="s">
        <v>143</v>
      </c>
    </row>
    <row r="151" spans="1:9" x14ac:dyDescent="0.3">
      <c r="A151" s="52" t="b">
        <v>1</v>
      </c>
      <c r="B151" s="36" t="s">
        <v>163</v>
      </c>
      <c r="C151" s="23" t="s">
        <v>78</v>
      </c>
      <c r="D151" s="22" t="s">
        <v>164</v>
      </c>
      <c r="E151" s="28" t="s">
        <v>56</v>
      </c>
      <c r="I151" s="53" t="s">
        <v>143</v>
      </c>
    </row>
    <row r="152" spans="1:9" x14ac:dyDescent="0.3">
      <c r="A152" s="52" t="b">
        <v>1</v>
      </c>
      <c r="B152" s="36" t="s">
        <v>163</v>
      </c>
      <c r="C152" s="23" t="s">
        <v>78</v>
      </c>
      <c r="D152" s="22" t="s">
        <v>165</v>
      </c>
      <c r="E152" s="28" t="s">
        <v>56</v>
      </c>
      <c r="I152" s="53" t="s">
        <v>143</v>
      </c>
    </row>
    <row r="153" spans="1:9" x14ac:dyDescent="0.3">
      <c r="A153" s="52" t="b">
        <v>1</v>
      </c>
      <c r="B153" s="36" t="s">
        <v>166</v>
      </c>
      <c r="C153" s="23" t="s">
        <v>78</v>
      </c>
      <c r="D153" s="3" t="s">
        <v>56</v>
      </c>
      <c r="I153" s="53" t="s">
        <v>143</v>
      </c>
    </row>
    <row r="154" spans="1:9" x14ac:dyDescent="0.3">
      <c r="A154" s="52" t="b">
        <v>1</v>
      </c>
      <c r="B154" s="36" t="s">
        <v>167</v>
      </c>
      <c r="C154" s="23" t="s">
        <v>78</v>
      </c>
      <c r="D154" s="3" t="s">
        <v>56</v>
      </c>
      <c r="I154" s="53" t="s">
        <v>143</v>
      </c>
    </row>
    <row r="155" spans="1:9" x14ac:dyDescent="0.3">
      <c r="A155" s="52" t="b">
        <v>1</v>
      </c>
      <c r="B155" s="36" t="s">
        <v>168</v>
      </c>
      <c r="C155" s="23" t="s">
        <v>160</v>
      </c>
      <c r="D155" s="3" t="s">
        <v>56</v>
      </c>
      <c r="E155" s="26"/>
      <c r="I155" s="53" t="s">
        <v>143</v>
      </c>
    </row>
    <row r="156" spans="1:9" x14ac:dyDescent="0.3">
      <c r="A156" s="52" t="b">
        <v>1</v>
      </c>
      <c r="B156" s="36" t="s">
        <v>169</v>
      </c>
      <c r="C156" s="23" t="s">
        <v>160</v>
      </c>
      <c r="D156" s="3" t="s">
        <v>56</v>
      </c>
      <c r="E156" s="26"/>
      <c r="I156" s="53" t="s">
        <v>143</v>
      </c>
    </row>
    <row r="157" spans="1:9" x14ac:dyDescent="0.3">
      <c r="A157" s="52" t="b">
        <v>1</v>
      </c>
      <c r="B157" s="36" t="s">
        <v>170</v>
      </c>
      <c r="C157" s="23" t="s">
        <v>160</v>
      </c>
      <c r="D157" s="3" t="s">
        <v>56</v>
      </c>
      <c r="E157" s="26"/>
      <c r="I157" s="53" t="s">
        <v>143</v>
      </c>
    </row>
    <row r="158" spans="1:9" x14ac:dyDescent="0.3">
      <c r="A158" s="52" t="b">
        <v>1</v>
      </c>
      <c r="B158" s="43" t="s">
        <v>171</v>
      </c>
      <c r="C158" s="8"/>
      <c r="E158" s="9"/>
      <c r="I158" s="54" t="s">
        <v>172</v>
      </c>
    </row>
    <row r="159" spans="1:9" x14ac:dyDescent="0.3">
      <c r="A159" s="52" t="b">
        <v>1</v>
      </c>
      <c r="B159" s="43" t="s">
        <v>171</v>
      </c>
      <c r="C159" s="8"/>
      <c r="I159" s="54" t="s">
        <v>172</v>
      </c>
    </row>
    <row r="160" spans="1:9" x14ac:dyDescent="0.3">
      <c r="A160" s="52" t="b">
        <v>1</v>
      </c>
      <c r="B160" s="43" t="s">
        <v>171</v>
      </c>
      <c r="C160" s="8"/>
      <c r="I160" s="54" t="s">
        <v>172</v>
      </c>
    </row>
    <row r="161" spans="1:9" x14ac:dyDescent="0.3">
      <c r="A161" s="52" t="b">
        <v>1</v>
      </c>
      <c r="B161" s="43" t="s">
        <v>171</v>
      </c>
      <c r="C161" s="8"/>
      <c r="I161" s="54" t="s">
        <v>172</v>
      </c>
    </row>
    <row r="162" spans="1:9" x14ac:dyDescent="0.3">
      <c r="A162" s="52" t="b">
        <v>1</v>
      </c>
      <c r="B162" s="43" t="s">
        <v>171</v>
      </c>
      <c r="C162" s="8"/>
      <c r="I162" s="54" t="s">
        <v>172</v>
      </c>
    </row>
    <row r="163" spans="1:9" x14ac:dyDescent="0.3">
      <c r="A163" s="52" t="b">
        <v>1</v>
      </c>
      <c r="B163" s="43" t="s">
        <v>171</v>
      </c>
      <c r="C163" s="8"/>
      <c r="I163" s="54" t="s">
        <v>172</v>
      </c>
    </row>
    <row r="164" spans="1:9" x14ac:dyDescent="0.3">
      <c r="A164" s="52" t="b">
        <v>1</v>
      </c>
      <c r="B164" s="43" t="s">
        <v>171</v>
      </c>
      <c r="C164" s="8"/>
      <c r="I164" s="54" t="s">
        <v>172</v>
      </c>
    </row>
    <row r="165" spans="1:9" x14ac:dyDescent="0.3">
      <c r="A165" s="52" t="b">
        <v>1</v>
      </c>
      <c r="B165" s="43" t="s">
        <v>171</v>
      </c>
      <c r="C165" s="8"/>
      <c r="I165" s="54" t="s">
        <v>172</v>
      </c>
    </row>
    <row r="166" spans="1:9" x14ac:dyDescent="0.3">
      <c r="A166" s="52" t="b">
        <v>1</v>
      </c>
      <c r="B166" s="43" t="s">
        <v>171</v>
      </c>
      <c r="C166" s="8"/>
      <c r="I166" s="54" t="s">
        <v>172</v>
      </c>
    </row>
    <row r="168" spans="1:9" x14ac:dyDescent="0.3">
      <c r="A168" s="52" t="b">
        <v>1</v>
      </c>
      <c r="B168" s="10" t="s">
        <v>173</v>
      </c>
    </row>
    <row r="169" spans="1:9" x14ac:dyDescent="0.3">
      <c r="A169" s="52" t="b">
        <v>1</v>
      </c>
      <c r="B169" s="43" t="s">
        <v>174</v>
      </c>
    </row>
    <row r="170" spans="1:9" x14ac:dyDescent="0.3">
      <c r="A170" s="52" t="b">
        <v>1</v>
      </c>
      <c r="B170" s="43" t="s">
        <v>174</v>
      </c>
    </row>
    <row r="171" spans="1:9" x14ac:dyDescent="0.3">
      <c r="A171" s="52" t="b">
        <v>1</v>
      </c>
      <c r="B171" s="43" t="s">
        <v>174</v>
      </c>
    </row>
    <row r="172" spans="1:9" x14ac:dyDescent="0.3">
      <c r="A172" s="52" t="b">
        <v>1</v>
      </c>
      <c r="B172" s="43" t="s">
        <v>174</v>
      </c>
    </row>
    <row r="173" spans="1:9" x14ac:dyDescent="0.3">
      <c r="A173" s="52" t="b">
        <v>1</v>
      </c>
      <c r="B173" s="43" t="s">
        <v>174</v>
      </c>
    </row>
    <row r="174" spans="1:9" x14ac:dyDescent="0.3">
      <c r="A174" s="52" t="b">
        <v>1</v>
      </c>
      <c r="B174" s="43" t="s">
        <v>174</v>
      </c>
    </row>
    <row r="175" spans="1:9" x14ac:dyDescent="0.3">
      <c r="A175" s="52" t="b">
        <v>1</v>
      </c>
      <c r="B175" s="43" t="s">
        <v>174</v>
      </c>
    </row>
    <row r="176" spans="1:9" x14ac:dyDescent="0.3">
      <c r="A176" s="52" t="b">
        <v>1</v>
      </c>
      <c r="B176" s="43" t="s">
        <v>174</v>
      </c>
    </row>
    <row r="177" spans="1:2" x14ac:dyDescent="0.3">
      <c r="A177" s="52" t="b">
        <v>1</v>
      </c>
      <c r="B177" s="43" t="s">
        <v>174</v>
      </c>
    </row>
    <row r="178" spans="1:2" x14ac:dyDescent="0.3">
      <c r="A178" s="52" t="b">
        <v>1</v>
      </c>
      <c r="B178" s="43" t="s">
        <v>174</v>
      </c>
    </row>
    <row r="180" spans="1:2" x14ac:dyDescent="0.3">
      <c r="A180" s="52" t="b">
        <v>1</v>
      </c>
      <c r="B180" s="10" t="s">
        <v>175</v>
      </c>
    </row>
    <row r="181" spans="1:2" x14ac:dyDescent="0.3">
      <c r="A181" s="52" t="b">
        <v>1</v>
      </c>
      <c r="B181" s="24" t="s">
        <v>176</v>
      </c>
    </row>
    <row r="182" spans="1:2" x14ac:dyDescent="0.3">
      <c r="A182" s="52" t="b">
        <v>1</v>
      </c>
      <c r="B182" s="24" t="s">
        <v>177</v>
      </c>
    </row>
    <row r="183" spans="1:2" x14ac:dyDescent="0.3">
      <c r="A183" s="52" t="b">
        <v>1</v>
      </c>
      <c r="B183" s="59" t="s">
        <v>178</v>
      </c>
    </row>
    <row r="184" spans="1:2" x14ac:dyDescent="0.3">
      <c r="A184" s="52" t="b">
        <v>1</v>
      </c>
      <c r="B184" s="46" t="s">
        <v>179</v>
      </c>
    </row>
    <row r="185" spans="1:2" x14ac:dyDescent="0.3">
      <c r="A185" s="52" t="b">
        <v>1</v>
      </c>
      <c r="B185" s="46" t="s">
        <v>179</v>
      </c>
    </row>
    <row r="186" spans="1:2" x14ac:dyDescent="0.3">
      <c r="A186" s="52" t="b">
        <v>1</v>
      </c>
      <c r="B186" s="46" t="s">
        <v>179</v>
      </c>
    </row>
    <row r="187" spans="1:2" x14ac:dyDescent="0.3">
      <c r="A187" s="52" t="b">
        <v>1</v>
      </c>
      <c r="B187" s="46" t="s">
        <v>179</v>
      </c>
    </row>
    <row r="188" spans="1:2" x14ac:dyDescent="0.3">
      <c r="A188" s="52" t="b">
        <v>1</v>
      </c>
      <c r="B188" s="46" t="s">
        <v>179</v>
      </c>
    </row>
    <row r="189" spans="1:2" x14ac:dyDescent="0.3">
      <c r="A189" s="52" t="b">
        <v>1</v>
      </c>
      <c r="B189" s="46" t="s">
        <v>179</v>
      </c>
    </row>
    <row r="190" spans="1:2" x14ac:dyDescent="0.3">
      <c r="A190" s="52" t="b">
        <v>1</v>
      </c>
      <c r="B190" s="46" t="s">
        <v>179</v>
      </c>
    </row>
    <row r="191" spans="1:2" x14ac:dyDescent="0.3">
      <c r="A191" s="52" t="b">
        <v>1</v>
      </c>
      <c r="B191" s="46" t="s">
        <v>179</v>
      </c>
    </row>
  </sheetData>
  <phoneticPr fontId="3" type="noConversion"/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6" r:id="rId4" name="CheckBox1">
          <controlPr defaultSize="0" autoLine="0" autoPict="0" linkedCell="A1" r:id="rId5">
            <anchor moveWithCells="1">
              <from>
                <xdr:col>0</xdr:col>
                <xdr:colOff>243840</xdr:colOff>
                <xdr:row>0</xdr:row>
                <xdr:rowOff>0</xdr:rowOff>
              </from>
              <to>
                <xdr:col>0</xdr:col>
                <xdr:colOff>449580</xdr:colOff>
                <xdr:row>0</xdr:row>
                <xdr:rowOff>175260</xdr:rowOff>
              </to>
            </anchor>
          </controlPr>
        </control>
      </mc:Choice>
      <mc:Fallback>
        <control shapeId="1026" r:id="rId4" name="CheckBox1"/>
      </mc:Fallback>
    </mc:AlternateContent>
    <mc:AlternateContent xmlns:mc="http://schemas.openxmlformats.org/markup-compatibility/2006">
      <mc:Choice Requires="x14">
        <control shapeId="1028" r:id="rId6" name="CheckBox3">
          <controlPr defaultSize="0" autoLine="0" linkedCell="A3" r:id="rId5">
            <anchor moveWithCells="1">
              <from>
                <xdr:col>0</xdr:col>
                <xdr:colOff>243840</xdr:colOff>
                <xdr:row>2</xdr:row>
                <xdr:rowOff>0</xdr:rowOff>
              </from>
              <to>
                <xdr:col>0</xdr:col>
                <xdr:colOff>449580</xdr:colOff>
                <xdr:row>3</xdr:row>
                <xdr:rowOff>0</xdr:rowOff>
              </to>
            </anchor>
          </controlPr>
        </control>
      </mc:Choice>
      <mc:Fallback>
        <control shapeId="1028" r:id="rId6" name="CheckBox3"/>
      </mc:Fallback>
    </mc:AlternateContent>
    <mc:AlternateContent xmlns:mc="http://schemas.openxmlformats.org/markup-compatibility/2006">
      <mc:Choice Requires="x14">
        <control shapeId="1031" r:id="rId7" name="CheckBox6">
          <controlPr defaultSize="0" autoLine="0" linkedCell="A6" r:id="rId5">
            <anchor moveWithCells="1">
              <from>
                <xdr:col>0</xdr:col>
                <xdr:colOff>243840</xdr:colOff>
                <xdr:row>5</xdr:row>
                <xdr:rowOff>0</xdr:rowOff>
              </from>
              <to>
                <xdr:col>0</xdr:col>
                <xdr:colOff>449580</xdr:colOff>
                <xdr:row>6</xdr:row>
                <xdr:rowOff>0</xdr:rowOff>
              </to>
            </anchor>
          </controlPr>
        </control>
      </mc:Choice>
      <mc:Fallback>
        <control shapeId="1031" r:id="rId7" name="CheckBox6"/>
      </mc:Fallback>
    </mc:AlternateContent>
    <mc:AlternateContent xmlns:mc="http://schemas.openxmlformats.org/markup-compatibility/2006">
      <mc:Choice Requires="x14">
        <control shapeId="1034" r:id="rId8" name="CheckBox9">
          <controlPr defaultSize="0" autoLine="0" linkedCell="A9" r:id="rId5">
            <anchor moveWithCells="1">
              <from>
                <xdr:col>0</xdr:col>
                <xdr:colOff>243840</xdr:colOff>
                <xdr:row>8</xdr:row>
                <xdr:rowOff>0</xdr:rowOff>
              </from>
              <to>
                <xdr:col>0</xdr:col>
                <xdr:colOff>449580</xdr:colOff>
                <xdr:row>9</xdr:row>
                <xdr:rowOff>0</xdr:rowOff>
              </to>
            </anchor>
          </controlPr>
        </control>
      </mc:Choice>
      <mc:Fallback>
        <control shapeId="1034" r:id="rId8" name="CheckBox9"/>
      </mc:Fallback>
    </mc:AlternateContent>
    <mc:AlternateContent xmlns:mc="http://schemas.openxmlformats.org/markup-compatibility/2006">
      <mc:Choice Requires="x14">
        <control shapeId="1035" r:id="rId9" name="CheckBox10">
          <controlPr defaultSize="0" autoLine="0" linkedCell="A10" r:id="rId5">
            <anchor moveWithCells="1">
              <from>
                <xdr:col>0</xdr:col>
                <xdr:colOff>243840</xdr:colOff>
                <xdr:row>9</xdr:row>
                <xdr:rowOff>0</xdr:rowOff>
              </from>
              <to>
                <xdr:col>0</xdr:col>
                <xdr:colOff>449580</xdr:colOff>
                <xdr:row>10</xdr:row>
                <xdr:rowOff>0</xdr:rowOff>
              </to>
            </anchor>
          </controlPr>
        </control>
      </mc:Choice>
      <mc:Fallback>
        <control shapeId="1035" r:id="rId9" name="CheckBox10"/>
      </mc:Fallback>
    </mc:AlternateContent>
    <mc:AlternateContent xmlns:mc="http://schemas.openxmlformats.org/markup-compatibility/2006">
      <mc:Choice Requires="x14">
        <control shapeId="1036" r:id="rId10" name="CheckBox11">
          <controlPr defaultSize="0" autoLine="0" linkedCell="A11" r:id="rId5">
            <anchor moveWithCells="1">
              <from>
                <xdr:col>0</xdr:col>
                <xdr:colOff>243840</xdr:colOff>
                <xdr:row>10</xdr:row>
                <xdr:rowOff>0</xdr:rowOff>
              </from>
              <to>
                <xdr:col>0</xdr:col>
                <xdr:colOff>449580</xdr:colOff>
                <xdr:row>11</xdr:row>
                <xdr:rowOff>0</xdr:rowOff>
              </to>
            </anchor>
          </controlPr>
        </control>
      </mc:Choice>
      <mc:Fallback>
        <control shapeId="1036" r:id="rId10" name="CheckBox11"/>
      </mc:Fallback>
    </mc:AlternateContent>
    <mc:AlternateContent xmlns:mc="http://schemas.openxmlformats.org/markup-compatibility/2006">
      <mc:Choice Requires="x14">
        <control shapeId="1037" r:id="rId11" name="CheckBox12">
          <controlPr defaultSize="0" autoLine="0" linkedCell="A12" r:id="rId5">
            <anchor moveWithCells="1">
              <from>
                <xdr:col>0</xdr:col>
                <xdr:colOff>243840</xdr:colOff>
                <xdr:row>11</xdr:row>
                <xdr:rowOff>0</xdr:rowOff>
              </from>
              <to>
                <xdr:col>0</xdr:col>
                <xdr:colOff>449580</xdr:colOff>
                <xdr:row>12</xdr:row>
                <xdr:rowOff>0</xdr:rowOff>
              </to>
            </anchor>
          </controlPr>
        </control>
      </mc:Choice>
      <mc:Fallback>
        <control shapeId="1037" r:id="rId11" name="CheckBox12"/>
      </mc:Fallback>
    </mc:AlternateContent>
    <mc:AlternateContent xmlns:mc="http://schemas.openxmlformats.org/markup-compatibility/2006">
      <mc:Choice Requires="x14">
        <control shapeId="1038" r:id="rId12" name="CheckBox13">
          <controlPr defaultSize="0" autoLine="0" linkedCell="A13" r:id="rId5">
            <anchor moveWithCells="1">
              <from>
                <xdr:col>0</xdr:col>
                <xdr:colOff>243840</xdr:colOff>
                <xdr:row>12</xdr:row>
                <xdr:rowOff>0</xdr:rowOff>
              </from>
              <to>
                <xdr:col>0</xdr:col>
                <xdr:colOff>449580</xdr:colOff>
                <xdr:row>13</xdr:row>
                <xdr:rowOff>0</xdr:rowOff>
              </to>
            </anchor>
          </controlPr>
        </control>
      </mc:Choice>
      <mc:Fallback>
        <control shapeId="1038" r:id="rId12" name="CheckBox13"/>
      </mc:Fallback>
    </mc:AlternateContent>
    <mc:AlternateContent xmlns:mc="http://schemas.openxmlformats.org/markup-compatibility/2006">
      <mc:Choice Requires="x14">
        <control shapeId="1039" r:id="rId13" name="CheckBox14">
          <controlPr defaultSize="0" autoLine="0" linkedCell="A14" r:id="rId5">
            <anchor moveWithCells="1">
              <from>
                <xdr:col>0</xdr:col>
                <xdr:colOff>243840</xdr:colOff>
                <xdr:row>13</xdr:row>
                <xdr:rowOff>0</xdr:rowOff>
              </from>
              <to>
                <xdr:col>0</xdr:col>
                <xdr:colOff>449580</xdr:colOff>
                <xdr:row>14</xdr:row>
                <xdr:rowOff>0</xdr:rowOff>
              </to>
            </anchor>
          </controlPr>
        </control>
      </mc:Choice>
      <mc:Fallback>
        <control shapeId="1039" r:id="rId13" name="CheckBox14"/>
      </mc:Fallback>
    </mc:AlternateContent>
    <mc:AlternateContent xmlns:mc="http://schemas.openxmlformats.org/markup-compatibility/2006">
      <mc:Choice Requires="x14">
        <control shapeId="1040" r:id="rId14" name="CheckBox15">
          <controlPr defaultSize="0" autoLine="0" linkedCell="A15" r:id="rId5">
            <anchor moveWithCells="1">
              <from>
                <xdr:col>0</xdr:col>
                <xdr:colOff>243840</xdr:colOff>
                <xdr:row>14</xdr:row>
                <xdr:rowOff>0</xdr:rowOff>
              </from>
              <to>
                <xdr:col>0</xdr:col>
                <xdr:colOff>449580</xdr:colOff>
                <xdr:row>15</xdr:row>
                <xdr:rowOff>0</xdr:rowOff>
              </to>
            </anchor>
          </controlPr>
        </control>
      </mc:Choice>
      <mc:Fallback>
        <control shapeId="1040" r:id="rId14" name="CheckBox15"/>
      </mc:Fallback>
    </mc:AlternateContent>
    <mc:AlternateContent xmlns:mc="http://schemas.openxmlformats.org/markup-compatibility/2006">
      <mc:Choice Requires="x14">
        <control shapeId="1041" r:id="rId15" name="CheckBox16">
          <controlPr defaultSize="0" autoLine="0" linkedCell="A16" r:id="rId5">
            <anchor moveWithCells="1">
              <from>
                <xdr:col>0</xdr:col>
                <xdr:colOff>243840</xdr:colOff>
                <xdr:row>15</xdr:row>
                <xdr:rowOff>0</xdr:rowOff>
              </from>
              <to>
                <xdr:col>0</xdr:col>
                <xdr:colOff>449580</xdr:colOff>
                <xdr:row>16</xdr:row>
                <xdr:rowOff>0</xdr:rowOff>
              </to>
            </anchor>
          </controlPr>
        </control>
      </mc:Choice>
      <mc:Fallback>
        <control shapeId="1041" r:id="rId15" name="CheckBox16"/>
      </mc:Fallback>
    </mc:AlternateContent>
    <mc:AlternateContent xmlns:mc="http://schemas.openxmlformats.org/markup-compatibility/2006">
      <mc:Choice Requires="x14">
        <control shapeId="1043" r:id="rId16" name="CheckBox18">
          <controlPr defaultSize="0" autoLine="0" linkedCell="A18" r:id="rId5">
            <anchor moveWithCells="1">
              <from>
                <xdr:col>0</xdr:col>
                <xdr:colOff>243840</xdr:colOff>
                <xdr:row>17</xdr:row>
                <xdr:rowOff>0</xdr:rowOff>
              </from>
              <to>
                <xdr:col>0</xdr:col>
                <xdr:colOff>449580</xdr:colOff>
                <xdr:row>18</xdr:row>
                <xdr:rowOff>0</xdr:rowOff>
              </to>
            </anchor>
          </controlPr>
        </control>
      </mc:Choice>
      <mc:Fallback>
        <control shapeId="1043" r:id="rId16" name="CheckBox18"/>
      </mc:Fallback>
    </mc:AlternateContent>
    <mc:AlternateContent xmlns:mc="http://schemas.openxmlformats.org/markup-compatibility/2006">
      <mc:Choice Requires="x14">
        <control shapeId="1044" r:id="rId17" name="CheckBox19">
          <controlPr defaultSize="0" autoLine="0" linkedCell="A20" r:id="rId18">
            <anchor moveWithCells="1">
              <from>
                <xdr:col>0</xdr:col>
                <xdr:colOff>243840</xdr:colOff>
                <xdr:row>19</xdr:row>
                <xdr:rowOff>0</xdr:rowOff>
              </from>
              <to>
                <xdr:col>0</xdr:col>
                <xdr:colOff>449580</xdr:colOff>
                <xdr:row>19</xdr:row>
                <xdr:rowOff>175260</xdr:rowOff>
              </to>
            </anchor>
          </controlPr>
        </control>
      </mc:Choice>
      <mc:Fallback>
        <control shapeId="1044" r:id="rId17" name="CheckBox19"/>
      </mc:Fallback>
    </mc:AlternateContent>
    <mc:AlternateContent xmlns:mc="http://schemas.openxmlformats.org/markup-compatibility/2006">
      <mc:Choice Requires="x14">
        <control shapeId="1045" r:id="rId19" name="CheckBox20">
          <controlPr defaultSize="0" autoLine="0" linkedCell="A21" r:id="rId5">
            <anchor moveWithCells="1">
              <from>
                <xdr:col>0</xdr:col>
                <xdr:colOff>243840</xdr:colOff>
                <xdr:row>20</xdr:row>
                <xdr:rowOff>0</xdr:rowOff>
              </from>
              <to>
                <xdr:col>0</xdr:col>
                <xdr:colOff>449580</xdr:colOff>
                <xdr:row>21</xdr:row>
                <xdr:rowOff>0</xdr:rowOff>
              </to>
            </anchor>
          </controlPr>
        </control>
      </mc:Choice>
      <mc:Fallback>
        <control shapeId="1045" r:id="rId19" name="CheckBox20"/>
      </mc:Fallback>
    </mc:AlternateContent>
    <mc:AlternateContent xmlns:mc="http://schemas.openxmlformats.org/markup-compatibility/2006">
      <mc:Choice Requires="x14">
        <control shapeId="1048" r:id="rId20" name="CheckBox23">
          <controlPr defaultSize="0" autoLine="0" linkedCell="A24" r:id="rId5">
            <anchor moveWithCells="1">
              <from>
                <xdr:col>0</xdr:col>
                <xdr:colOff>243840</xdr:colOff>
                <xdr:row>23</xdr:row>
                <xdr:rowOff>0</xdr:rowOff>
              </from>
              <to>
                <xdr:col>0</xdr:col>
                <xdr:colOff>449580</xdr:colOff>
                <xdr:row>24</xdr:row>
                <xdr:rowOff>0</xdr:rowOff>
              </to>
            </anchor>
          </controlPr>
        </control>
      </mc:Choice>
      <mc:Fallback>
        <control shapeId="1048" r:id="rId20" name="CheckBox23"/>
      </mc:Fallback>
    </mc:AlternateContent>
    <mc:AlternateContent xmlns:mc="http://schemas.openxmlformats.org/markup-compatibility/2006">
      <mc:Choice Requires="x14">
        <control shapeId="1049" r:id="rId21" name="CheckBox24">
          <controlPr defaultSize="0" autoLine="0" linkedCell="A25" r:id="rId5">
            <anchor moveWithCells="1">
              <from>
                <xdr:col>0</xdr:col>
                <xdr:colOff>243840</xdr:colOff>
                <xdr:row>24</xdr:row>
                <xdr:rowOff>0</xdr:rowOff>
              </from>
              <to>
                <xdr:col>0</xdr:col>
                <xdr:colOff>449580</xdr:colOff>
                <xdr:row>25</xdr:row>
                <xdr:rowOff>0</xdr:rowOff>
              </to>
            </anchor>
          </controlPr>
        </control>
      </mc:Choice>
      <mc:Fallback>
        <control shapeId="1049" r:id="rId21" name="CheckBox24"/>
      </mc:Fallback>
    </mc:AlternateContent>
    <mc:AlternateContent xmlns:mc="http://schemas.openxmlformats.org/markup-compatibility/2006">
      <mc:Choice Requires="x14">
        <control shapeId="1050" r:id="rId22" name="CheckBox25">
          <controlPr defaultSize="0" autoLine="0" linkedCell="A26" r:id="rId5">
            <anchor moveWithCells="1">
              <from>
                <xdr:col>0</xdr:col>
                <xdr:colOff>243840</xdr:colOff>
                <xdr:row>25</xdr:row>
                <xdr:rowOff>0</xdr:rowOff>
              </from>
              <to>
                <xdr:col>0</xdr:col>
                <xdr:colOff>449580</xdr:colOff>
                <xdr:row>26</xdr:row>
                <xdr:rowOff>0</xdr:rowOff>
              </to>
            </anchor>
          </controlPr>
        </control>
      </mc:Choice>
      <mc:Fallback>
        <control shapeId="1050" r:id="rId22" name="CheckBox25"/>
      </mc:Fallback>
    </mc:AlternateContent>
    <mc:AlternateContent xmlns:mc="http://schemas.openxmlformats.org/markup-compatibility/2006">
      <mc:Choice Requires="x14">
        <control shapeId="1051" r:id="rId23" name="CheckBox26">
          <controlPr defaultSize="0" autoLine="0" linkedCell="A27" r:id="rId18">
            <anchor moveWithCells="1">
              <from>
                <xdr:col>0</xdr:col>
                <xdr:colOff>243840</xdr:colOff>
                <xdr:row>26</xdr:row>
                <xdr:rowOff>0</xdr:rowOff>
              </from>
              <to>
                <xdr:col>0</xdr:col>
                <xdr:colOff>449580</xdr:colOff>
                <xdr:row>26</xdr:row>
                <xdr:rowOff>175260</xdr:rowOff>
              </to>
            </anchor>
          </controlPr>
        </control>
      </mc:Choice>
      <mc:Fallback>
        <control shapeId="1051" r:id="rId23" name="CheckBox26"/>
      </mc:Fallback>
    </mc:AlternateContent>
    <mc:AlternateContent xmlns:mc="http://schemas.openxmlformats.org/markup-compatibility/2006">
      <mc:Choice Requires="x14">
        <control shapeId="1052" r:id="rId24" name="CheckBox27">
          <controlPr defaultSize="0" autoLine="0" linkedCell="A28" r:id="rId18">
            <anchor moveWithCells="1">
              <from>
                <xdr:col>0</xdr:col>
                <xdr:colOff>243840</xdr:colOff>
                <xdr:row>27</xdr:row>
                <xdr:rowOff>0</xdr:rowOff>
              </from>
              <to>
                <xdr:col>0</xdr:col>
                <xdr:colOff>449580</xdr:colOff>
                <xdr:row>27</xdr:row>
                <xdr:rowOff>175260</xdr:rowOff>
              </to>
            </anchor>
          </controlPr>
        </control>
      </mc:Choice>
      <mc:Fallback>
        <control shapeId="1052" r:id="rId24" name="CheckBox27"/>
      </mc:Fallback>
    </mc:AlternateContent>
    <mc:AlternateContent xmlns:mc="http://schemas.openxmlformats.org/markup-compatibility/2006">
      <mc:Choice Requires="x14">
        <control shapeId="1053" r:id="rId25" name="CheckBox28">
          <controlPr defaultSize="0" autoLine="0" linkedCell="A29" r:id="rId18">
            <anchor moveWithCells="1">
              <from>
                <xdr:col>0</xdr:col>
                <xdr:colOff>243840</xdr:colOff>
                <xdr:row>28</xdr:row>
                <xdr:rowOff>0</xdr:rowOff>
              </from>
              <to>
                <xdr:col>0</xdr:col>
                <xdr:colOff>449580</xdr:colOff>
                <xdr:row>28</xdr:row>
                <xdr:rowOff>175260</xdr:rowOff>
              </to>
            </anchor>
          </controlPr>
        </control>
      </mc:Choice>
      <mc:Fallback>
        <control shapeId="1053" r:id="rId25" name="CheckBox28"/>
      </mc:Fallback>
    </mc:AlternateContent>
    <mc:AlternateContent xmlns:mc="http://schemas.openxmlformats.org/markup-compatibility/2006">
      <mc:Choice Requires="x14">
        <control shapeId="1054" r:id="rId26" name="CheckBox29">
          <controlPr defaultSize="0" autoLine="0" linkedCell="A30" r:id="rId18">
            <anchor moveWithCells="1">
              <from>
                <xdr:col>0</xdr:col>
                <xdr:colOff>243840</xdr:colOff>
                <xdr:row>29</xdr:row>
                <xdr:rowOff>0</xdr:rowOff>
              </from>
              <to>
                <xdr:col>0</xdr:col>
                <xdr:colOff>449580</xdr:colOff>
                <xdr:row>29</xdr:row>
                <xdr:rowOff>175260</xdr:rowOff>
              </to>
            </anchor>
          </controlPr>
        </control>
      </mc:Choice>
      <mc:Fallback>
        <control shapeId="1054" r:id="rId26" name="CheckBox29"/>
      </mc:Fallback>
    </mc:AlternateContent>
    <mc:AlternateContent xmlns:mc="http://schemas.openxmlformats.org/markup-compatibility/2006">
      <mc:Choice Requires="x14">
        <control shapeId="1055" r:id="rId27" name="CheckBox30">
          <controlPr defaultSize="0" autoLine="0" linkedCell="A31" r:id="rId18">
            <anchor moveWithCells="1">
              <from>
                <xdr:col>0</xdr:col>
                <xdr:colOff>243840</xdr:colOff>
                <xdr:row>30</xdr:row>
                <xdr:rowOff>0</xdr:rowOff>
              </from>
              <to>
                <xdr:col>0</xdr:col>
                <xdr:colOff>449580</xdr:colOff>
                <xdr:row>30</xdr:row>
                <xdr:rowOff>175260</xdr:rowOff>
              </to>
            </anchor>
          </controlPr>
        </control>
      </mc:Choice>
      <mc:Fallback>
        <control shapeId="1055" r:id="rId27" name="CheckBox30"/>
      </mc:Fallback>
    </mc:AlternateContent>
    <mc:AlternateContent xmlns:mc="http://schemas.openxmlformats.org/markup-compatibility/2006">
      <mc:Choice Requires="x14">
        <control shapeId="1056" r:id="rId28" name="CheckBox31">
          <controlPr defaultSize="0" autoLine="0" linkedCell="A32" r:id="rId18">
            <anchor moveWithCells="1">
              <from>
                <xdr:col>0</xdr:col>
                <xdr:colOff>243840</xdr:colOff>
                <xdr:row>31</xdr:row>
                <xdr:rowOff>0</xdr:rowOff>
              </from>
              <to>
                <xdr:col>0</xdr:col>
                <xdr:colOff>449580</xdr:colOff>
                <xdr:row>31</xdr:row>
                <xdr:rowOff>175260</xdr:rowOff>
              </to>
            </anchor>
          </controlPr>
        </control>
      </mc:Choice>
      <mc:Fallback>
        <control shapeId="1056" r:id="rId28" name="CheckBox31"/>
      </mc:Fallback>
    </mc:AlternateContent>
    <mc:AlternateContent xmlns:mc="http://schemas.openxmlformats.org/markup-compatibility/2006">
      <mc:Choice Requires="x14">
        <control shapeId="1057" r:id="rId29" name="CheckBox32">
          <controlPr defaultSize="0" autoLine="0" linkedCell="A33" r:id="rId18">
            <anchor moveWithCells="1">
              <from>
                <xdr:col>0</xdr:col>
                <xdr:colOff>243840</xdr:colOff>
                <xdr:row>32</xdr:row>
                <xdr:rowOff>0</xdr:rowOff>
              </from>
              <to>
                <xdr:col>0</xdr:col>
                <xdr:colOff>449580</xdr:colOff>
                <xdr:row>32</xdr:row>
                <xdr:rowOff>175260</xdr:rowOff>
              </to>
            </anchor>
          </controlPr>
        </control>
      </mc:Choice>
      <mc:Fallback>
        <control shapeId="1057" r:id="rId29" name="CheckBox32"/>
      </mc:Fallback>
    </mc:AlternateContent>
    <mc:AlternateContent xmlns:mc="http://schemas.openxmlformats.org/markup-compatibility/2006">
      <mc:Choice Requires="x14">
        <control shapeId="1058" r:id="rId30" name="CheckBox33">
          <controlPr defaultSize="0" autoLine="0" linkedCell="A34" r:id="rId18">
            <anchor moveWithCells="1">
              <from>
                <xdr:col>0</xdr:col>
                <xdr:colOff>243840</xdr:colOff>
                <xdr:row>33</xdr:row>
                <xdr:rowOff>0</xdr:rowOff>
              </from>
              <to>
                <xdr:col>0</xdr:col>
                <xdr:colOff>449580</xdr:colOff>
                <xdr:row>33</xdr:row>
                <xdr:rowOff>175260</xdr:rowOff>
              </to>
            </anchor>
          </controlPr>
        </control>
      </mc:Choice>
      <mc:Fallback>
        <control shapeId="1058" r:id="rId30" name="CheckBox33"/>
      </mc:Fallback>
    </mc:AlternateContent>
    <mc:AlternateContent xmlns:mc="http://schemas.openxmlformats.org/markup-compatibility/2006">
      <mc:Choice Requires="x14">
        <control shapeId="1059" r:id="rId31" name="CheckBox34">
          <controlPr defaultSize="0" autoLine="0" linkedCell="A35" r:id="rId18">
            <anchor moveWithCells="1">
              <from>
                <xdr:col>0</xdr:col>
                <xdr:colOff>243840</xdr:colOff>
                <xdr:row>34</xdr:row>
                <xdr:rowOff>0</xdr:rowOff>
              </from>
              <to>
                <xdr:col>0</xdr:col>
                <xdr:colOff>449580</xdr:colOff>
                <xdr:row>34</xdr:row>
                <xdr:rowOff>175260</xdr:rowOff>
              </to>
            </anchor>
          </controlPr>
        </control>
      </mc:Choice>
      <mc:Fallback>
        <control shapeId="1059" r:id="rId31" name="CheckBox34"/>
      </mc:Fallback>
    </mc:AlternateContent>
    <mc:AlternateContent xmlns:mc="http://schemas.openxmlformats.org/markup-compatibility/2006">
      <mc:Choice Requires="x14">
        <control shapeId="1060" r:id="rId32" name="CheckBox35">
          <controlPr defaultSize="0" autoLine="0" linkedCell="A36" r:id="rId18">
            <anchor moveWithCells="1">
              <from>
                <xdr:col>0</xdr:col>
                <xdr:colOff>243840</xdr:colOff>
                <xdr:row>35</xdr:row>
                <xdr:rowOff>0</xdr:rowOff>
              </from>
              <to>
                <xdr:col>0</xdr:col>
                <xdr:colOff>449580</xdr:colOff>
                <xdr:row>35</xdr:row>
                <xdr:rowOff>175260</xdr:rowOff>
              </to>
            </anchor>
          </controlPr>
        </control>
      </mc:Choice>
      <mc:Fallback>
        <control shapeId="1060" r:id="rId32" name="CheckBox35"/>
      </mc:Fallback>
    </mc:AlternateContent>
    <mc:AlternateContent xmlns:mc="http://schemas.openxmlformats.org/markup-compatibility/2006">
      <mc:Choice Requires="x14">
        <control shapeId="1061" r:id="rId33" name="CheckBox36">
          <controlPr defaultSize="0" autoLine="0" linkedCell="A37" r:id="rId18">
            <anchor moveWithCells="1">
              <from>
                <xdr:col>0</xdr:col>
                <xdr:colOff>243840</xdr:colOff>
                <xdr:row>36</xdr:row>
                <xdr:rowOff>0</xdr:rowOff>
              </from>
              <to>
                <xdr:col>0</xdr:col>
                <xdr:colOff>449580</xdr:colOff>
                <xdr:row>36</xdr:row>
                <xdr:rowOff>175260</xdr:rowOff>
              </to>
            </anchor>
          </controlPr>
        </control>
      </mc:Choice>
      <mc:Fallback>
        <control shapeId="1061" r:id="rId33" name="CheckBox36"/>
      </mc:Fallback>
    </mc:AlternateContent>
    <mc:AlternateContent xmlns:mc="http://schemas.openxmlformats.org/markup-compatibility/2006">
      <mc:Choice Requires="x14">
        <control shapeId="1062" r:id="rId34" name="CheckBox37">
          <controlPr defaultSize="0" autoLine="0" linkedCell="A38" r:id="rId18">
            <anchor moveWithCells="1">
              <from>
                <xdr:col>0</xdr:col>
                <xdr:colOff>243840</xdr:colOff>
                <xdr:row>37</xdr:row>
                <xdr:rowOff>0</xdr:rowOff>
              </from>
              <to>
                <xdr:col>0</xdr:col>
                <xdr:colOff>449580</xdr:colOff>
                <xdr:row>37</xdr:row>
                <xdr:rowOff>175260</xdr:rowOff>
              </to>
            </anchor>
          </controlPr>
        </control>
      </mc:Choice>
      <mc:Fallback>
        <control shapeId="1062" r:id="rId34" name="CheckBox37"/>
      </mc:Fallback>
    </mc:AlternateContent>
    <mc:AlternateContent xmlns:mc="http://schemas.openxmlformats.org/markup-compatibility/2006">
      <mc:Choice Requires="x14">
        <control shapeId="1063" r:id="rId35" name="CheckBox38">
          <controlPr defaultSize="0" autoLine="0" linkedCell="A39" r:id="rId18">
            <anchor moveWithCells="1">
              <from>
                <xdr:col>0</xdr:col>
                <xdr:colOff>243840</xdr:colOff>
                <xdr:row>38</xdr:row>
                <xdr:rowOff>0</xdr:rowOff>
              </from>
              <to>
                <xdr:col>0</xdr:col>
                <xdr:colOff>449580</xdr:colOff>
                <xdr:row>38</xdr:row>
                <xdr:rowOff>175260</xdr:rowOff>
              </to>
            </anchor>
          </controlPr>
        </control>
      </mc:Choice>
      <mc:Fallback>
        <control shapeId="1063" r:id="rId35" name="CheckBox38"/>
      </mc:Fallback>
    </mc:AlternateContent>
    <mc:AlternateContent xmlns:mc="http://schemas.openxmlformats.org/markup-compatibility/2006">
      <mc:Choice Requires="x14">
        <control shapeId="1066" r:id="rId36" name="CheckBox41">
          <controlPr defaultSize="0" autoLine="0" linkedCell="A42" r:id="rId5">
            <anchor moveWithCells="1">
              <from>
                <xdr:col>0</xdr:col>
                <xdr:colOff>243840</xdr:colOff>
                <xdr:row>41</xdr:row>
                <xdr:rowOff>0</xdr:rowOff>
              </from>
              <to>
                <xdr:col>0</xdr:col>
                <xdr:colOff>449580</xdr:colOff>
                <xdr:row>42</xdr:row>
                <xdr:rowOff>0</xdr:rowOff>
              </to>
            </anchor>
          </controlPr>
        </control>
      </mc:Choice>
      <mc:Fallback>
        <control shapeId="1066" r:id="rId36" name="CheckBox41"/>
      </mc:Fallback>
    </mc:AlternateContent>
    <mc:AlternateContent xmlns:mc="http://schemas.openxmlformats.org/markup-compatibility/2006">
      <mc:Choice Requires="x14">
        <control shapeId="1067" r:id="rId37" name="CheckBox42">
          <controlPr defaultSize="0" autoLine="0" linkedCell="A43" r:id="rId5">
            <anchor moveWithCells="1">
              <from>
                <xdr:col>0</xdr:col>
                <xdr:colOff>243840</xdr:colOff>
                <xdr:row>42</xdr:row>
                <xdr:rowOff>0</xdr:rowOff>
              </from>
              <to>
                <xdr:col>0</xdr:col>
                <xdr:colOff>449580</xdr:colOff>
                <xdr:row>43</xdr:row>
                <xdr:rowOff>0</xdr:rowOff>
              </to>
            </anchor>
          </controlPr>
        </control>
      </mc:Choice>
      <mc:Fallback>
        <control shapeId="1067" r:id="rId37" name="CheckBox42"/>
      </mc:Fallback>
    </mc:AlternateContent>
    <mc:AlternateContent xmlns:mc="http://schemas.openxmlformats.org/markup-compatibility/2006">
      <mc:Choice Requires="x14">
        <control shapeId="1068" r:id="rId38" name="CheckBox43">
          <controlPr defaultSize="0" autoLine="0" linkedCell="A44" r:id="rId18">
            <anchor moveWithCells="1">
              <from>
                <xdr:col>0</xdr:col>
                <xdr:colOff>243840</xdr:colOff>
                <xdr:row>43</xdr:row>
                <xdr:rowOff>0</xdr:rowOff>
              </from>
              <to>
                <xdr:col>0</xdr:col>
                <xdr:colOff>449580</xdr:colOff>
                <xdr:row>43</xdr:row>
                <xdr:rowOff>175260</xdr:rowOff>
              </to>
            </anchor>
          </controlPr>
        </control>
      </mc:Choice>
      <mc:Fallback>
        <control shapeId="1068" r:id="rId38" name="CheckBox43"/>
      </mc:Fallback>
    </mc:AlternateContent>
    <mc:AlternateContent xmlns:mc="http://schemas.openxmlformats.org/markup-compatibility/2006">
      <mc:Choice Requires="x14">
        <control shapeId="1069" r:id="rId39" name="CheckBox44">
          <controlPr defaultSize="0" autoLine="0" linkedCell="A45" r:id="rId5">
            <anchor moveWithCells="1">
              <from>
                <xdr:col>0</xdr:col>
                <xdr:colOff>243840</xdr:colOff>
                <xdr:row>44</xdr:row>
                <xdr:rowOff>0</xdr:rowOff>
              </from>
              <to>
                <xdr:col>0</xdr:col>
                <xdr:colOff>449580</xdr:colOff>
                <xdr:row>45</xdr:row>
                <xdr:rowOff>0</xdr:rowOff>
              </to>
            </anchor>
          </controlPr>
        </control>
      </mc:Choice>
      <mc:Fallback>
        <control shapeId="1069" r:id="rId39" name="CheckBox44"/>
      </mc:Fallback>
    </mc:AlternateContent>
    <mc:AlternateContent xmlns:mc="http://schemas.openxmlformats.org/markup-compatibility/2006">
      <mc:Choice Requires="x14">
        <control shapeId="1070" r:id="rId40" name="CheckBox45">
          <controlPr defaultSize="0" autoLine="0" linkedCell="A46" r:id="rId18">
            <anchor moveWithCells="1">
              <from>
                <xdr:col>0</xdr:col>
                <xdr:colOff>243840</xdr:colOff>
                <xdr:row>45</xdr:row>
                <xdr:rowOff>0</xdr:rowOff>
              </from>
              <to>
                <xdr:col>0</xdr:col>
                <xdr:colOff>449580</xdr:colOff>
                <xdr:row>45</xdr:row>
                <xdr:rowOff>175260</xdr:rowOff>
              </to>
            </anchor>
          </controlPr>
        </control>
      </mc:Choice>
      <mc:Fallback>
        <control shapeId="1070" r:id="rId40" name="CheckBox45"/>
      </mc:Fallback>
    </mc:AlternateContent>
    <mc:AlternateContent xmlns:mc="http://schemas.openxmlformats.org/markup-compatibility/2006">
      <mc:Choice Requires="x14">
        <control shapeId="1071" r:id="rId41" name="CheckBox46">
          <controlPr defaultSize="0" autoLine="0" linkedCell="A47" r:id="rId5">
            <anchor moveWithCells="1">
              <from>
                <xdr:col>0</xdr:col>
                <xdr:colOff>243840</xdr:colOff>
                <xdr:row>46</xdr:row>
                <xdr:rowOff>0</xdr:rowOff>
              </from>
              <to>
                <xdr:col>0</xdr:col>
                <xdr:colOff>449580</xdr:colOff>
                <xdr:row>47</xdr:row>
                <xdr:rowOff>0</xdr:rowOff>
              </to>
            </anchor>
          </controlPr>
        </control>
      </mc:Choice>
      <mc:Fallback>
        <control shapeId="1071" r:id="rId41" name="CheckBox46"/>
      </mc:Fallback>
    </mc:AlternateContent>
    <mc:AlternateContent xmlns:mc="http://schemas.openxmlformats.org/markup-compatibility/2006">
      <mc:Choice Requires="x14">
        <control shapeId="1072" r:id="rId42" name="CheckBox47">
          <controlPr defaultSize="0" autoLine="0" linkedCell="A48" r:id="rId5">
            <anchor moveWithCells="1">
              <from>
                <xdr:col>0</xdr:col>
                <xdr:colOff>243840</xdr:colOff>
                <xdr:row>47</xdr:row>
                <xdr:rowOff>0</xdr:rowOff>
              </from>
              <to>
                <xdr:col>0</xdr:col>
                <xdr:colOff>449580</xdr:colOff>
                <xdr:row>48</xdr:row>
                <xdr:rowOff>0</xdr:rowOff>
              </to>
            </anchor>
          </controlPr>
        </control>
      </mc:Choice>
      <mc:Fallback>
        <control shapeId="1072" r:id="rId42" name="CheckBox47"/>
      </mc:Fallback>
    </mc:AlternateContent>
    <mc:AlternateContent xmlns:mc="http://schemas.openxmlformats.org/markup-compatibility/2006">
      <mc:Choice Requires="x14">
        <control shapeId="1073" r:id="rId43" name="CheckBox48">
          <controlPr defaultSize="0" autoLine="0" linkedCell="A49" r:id="rId18">
            <anchor moveWithCells="1">
              <from>
                <xdr:col>0</xdr:col>
                <xdr:colOff>243840</xdr:colOff>
                <xdr:row>48</xdr:row>
                <xdr:rowOff>0</xdr:rowOff>
              </from>
              <to>
                <xdr:col>0</xdr:col>
                <xdr:colOff>449580</xdr:colOff>
                <xdr:row>48</xdr:row>
                <xdr:rowOff>175260</xdr:rowOff>
              </to>
            </anchor>
          </controlPr>
        </control>
      </mc:Choice>
      <mc:Fallback>
        <control shapeId="1073" r:id="rId43" name="CheckBox48"/>
      </mc:Fallback>
    </mc:AlternateContent>
    <mc:AlternateContent xmlns:mc="http://schemas.openxmlformats.org/markup-compatibility/2006">
      <mc:Choice Requires="x14">
        <control shapeId="1074" r:id="rId44" name="CheckBox49">
          <controlPr defaultSize="0" autoLine="0" linkedCell="A50" r:id="rId5">
            <anchor moveWithCells="1">
              <from>
                <xdr:col>0</xdr:col>
                <xdr:colOff>243840</xdr:colOff>
                <xdr:row>49</xdr:row>
                <xdr:rowOff>0</xdr:rowOff>
              </from>
              <to>
                <xdr:col>0</xdr:col>
                <xdr:colOff>449580</xdr:colOff>
                <xdr:row>50</xdr:row>
                <xdr:rowOff>0</xdr:rowOff>
              </to>
            </anchor>
          </controlPr>
        </control>
      </mc:Choice>
      <mc:Fallback>
        <control shapeId="1074" r:id="rId44" name="CheckBox49"/>
      </mc:Fallback>
    </mc:AlternateContent>
    <mc:AlternateContent xmlns:mc="http://schemas.openxmlformats.org/markup-compatibility/2006">
      <mc:Choice Requires="x14">
        <control shapeId="1075" r:id="rId45" name="CheckBox50">
          <controlPr defaultSize="0" autoLine="0" linkedCell="A51" r:id="rId18">
            <anchor moveWithCells="1">
              <from>
                <xdr:col>0</xdr:col>
                <xdr:colOff>243840</xdr:colOff>
                <xdr:row>50</xdr:row>
                <xdr:rowOff>0</xdr:rowOff>
              </from>
              <to>
                <xdr:col>0</xdr:col>
                <xdr:colOff>449580</xdr:colOff>
                <xdr:row>50</xdr:row>
                <xdr:rowOff>175260</xdr:rowOff>
              </to>
            </anchor>
          </controlPr>
        </control>
      </mc:Choice>
      <mc:Fallback>
        <control shapeId="1075" r:id="rId45" name="CheckBox50"/>
      </mc:Fallback>
    </mc:AlternateContent>
    <mc:AlternateContent xmlns:mc="http://schemas.openxmlformats.org/markup-compatibility/2006">
      <mc:Choice Requires="x14">
        <control shapeId="1076" r:id="rId46" name="CheckBox51">
          <controlPr defaultSize="0" autoLine="0" linkedCell="A52" r:id="rId5">
            <anchor moveWithCells="1">
              <from>
                <xdr:col>0</xdr:col>
                <xdr:colOff>243840</xdr:colOff>
                <xdr:row>51</xdr:row>
                <xdr:rowOff>0</xdr:rowOff>
              </from>
              <to>
                <xdr:col>0</xdr:col>
                <xdr:colOff>449580</xdr:colOff>
                <xdr:row>52</xdr:row>
                <xdr:rowOff>0</xdr:rowOff>
              </to>
            </anchor>
          </controlPr>
        </control>
      </mc:Choice>
      <mc:Fallback>
        <control shapeId="1076" r:id="rId46" name="CheckBox51"/>
      </mc:Fallback>
    </mc:AlternateContent>
    <mc:AlternateContent xmlns:mc="http://schemas.openxmlformats.org/markup-compatibility/2006">
      <mc:Choice Requires="x14">
        <control shapeId="1077" r:id="rId47" name="CheckBox52">
          <controlPr defaultSize="0" autoLine="0" linkedCell="A53" r:id="rId18">
            <anchor moveWithCells="1">
              <from>
                <xdr:col>0</xdr:col>
                <xdr:colOff>243840</xdr:colOff>
                <xdr:row>52</xdr:row>
                <xdr:rowOff>0</xdr:rowOff>
              </from>
              <to>
                <xdr:col>0</xdr:col>
                <xdr:colOff>449580</xdr:colOff>
                <xdr:row>52</xdr:row>
                <xdr:rowOff>175260</xdr:rowOff>
              </to>
            </anchor>
          </controlPr>
        </control>
      </mc:Choice>
      <mc:Fallback>
        <control shapeId="1077" r:id="rId47" name="CheckBox52"/>
      </mc:Fallback>
    </mc:AlternateContent>
    <mc:AlternateContent xmlns:mc="http://schemas.openxmlformats.org/markup-compatibility/2006">
      <mc:Choice Requires="x14">
        <control shapeId="1078" r:id="rId48" name="CheckBox53">
          <controlPr defaultSize="0" autoLine="0" linkedCell="A54" r:id="rId5">
            <anchor moveWithCells="1">
              <from>
                <xdr:col>0</xdr:col>
                <xdr:colOff>243840</xdr:colOff>
                <xdr:row>53</xdr:row>
                <xdr:rowOff>0</xdr:rowOff>
              </from>
              <to>
                <xdr:col>0</xdr:col>
                <xdr:colOff>449580</xdr:colOff>
                <xdr:row>54</xdr:row>
                <xdr:rowOff>0</xdr:rowOff>
              </to>
            </anchor>
          </controlPr>
        </control>
      </mc:Choice>
      <mc:Fallback>
        <control shapeId="1078" r:id="rId48" name="CheckBox53"/>
      </mc:Fallback>
    </mc:AlternateContent>
    <mc:AlternateContent xmlns:mc="http://schemas.openxmlformats.org/markup-compatibility/2006">
      <mc:Choice Requires="x14">
        <control shapeId="1079" r:id="rId49" name="CheckBox54">
          <controlPr defaultSize="0" autoLine="0" linkedCell="A55" r:id="rId18">
            <anchor moveWithCells="1">
              <from>
                <xdr:col>0</xdr:col>
                <xdr:colOff>243840</xdr:colOff>
                <xdr:row>54</xdr:row>
                <xdr:rowOff>0</xdr:rowOff>
              </from>
              <to>
                <xdr:col>0</xdr:col>
                <xdr:colOff>449580</xdr:colOff>
                <xdr:row>54</xdr:row>
                <xdr:rowOff>175260</xdr:rowOff>
              </to>
            </anchor>
          </controlPr>
        </control>
      </mc:Choice>
      <mc:Fallback>
        <control shapeId="1079" r:id="rId49" name="CheckBox54"/>
      </mc:Fallback>
    </mc:AlternateContent>
    <mc:AlternateContent xmlns:mc="http://schemas.openxmlformats.org/markup-compatibility/2006">
      <mc:Choice Requires="x14">
        <control shapeId="1080" r:id="rId50" name="CheckBox55">
          <controlPr defaultSize="0" autoLine="0" linkedCell="A56" r:id="rId5">
            <anchor moveWithCells="1">
              <from>
                <xdr:col>0</xdr:col>
                <xdr:colOff>243840</xdr:colOff>
                <xdr:row>55</xdr:row>
                <xdr:rowOff>0</xdr:rowOff>
              </from>
              <to>
                <xdr:col>0</xdr:col>
                <xdr:colOff>449580</xdr:colOff>
                <xdr:row>56</xdr:row>
                <xdr:rowOff>0</xdr:rowOff>
              </to>
            </anchor>
          </controlPr>
        </control>
      </mc:Choice>
      <mc:Fallback>
        <control shapeId="1080" r:id="rId50" name="CheckBox55"/>
      </mc:Fallback>
    </mc:AlternateContent>
    <mc:AlternateContent xmlns:mc="http://schemas.openxmlformats.org/markup-compatibility/2006">
      <mc:Choice Requires="x14">
        <control shapeId="1081" r:id="rId51" name="CheckBox56">
          <controlPr defaultSize="0" autoLine="0" linkedCell="A57" r:id="rId18">
            <anchor moveWithCells="1">
              <from>
                <xdr:col>0</xdr:col>
                <xdr:colOff>243840</xdr:colOff>
                <xdr:row>56</xdr:row>
                <xdr:rowOff>0</xdr:rowOff>
              </from>
              <to>
                <xdr:col>0</xdr:col>
                <xdr:colOff>449580</xdr:colOff>
                <xdr:row>56</xdr:row>
                <xdr:rowOff>175260</xdr:rowOff>
              </to>
            </anchor>
          </controlPr>
        </control>
      </mc:Choice>
      <mc:Fallback>
        <control shapeId="1081" r:id="rId51" name="CheckBox56"/>
      </mc:Fallback>
    </mc:AlternateContent>
    <mc:AlternateContent xmlns:mc="http://schemas.openxmlformats.org/markup-compatibility/2006">
      <mc:Choice Requires="x14">
        <control shapeId="1082" r:id="rId52" name="CheckBox57">
          <controlPr defaultSize="0" autoLine="0" linkedCell="A58" r:id="rId18">
            <anchor moveWithCells="1">
              <from>
                <xdr:col>0</xdr:col>
                <xdr:colOff>243840</xdr:colOff>
                <xdr:row>57</xdr:row>
                <xdr:rowOff>0</xdr:rowOff>
              </from>
              <to>
                <xdr:col>0</xdr:col>
                <xdr:colOff>449580</xdr:colOff>
                <xdr:row>57</xdr:row>
                <xdr:rowOff>175260</xdr:rowOff>
              </to>
            </anchor>
          </controlPr>
        </control>
      </mc:Choice>
      <mc:Fallback>
        <control shapeId="1082" r:id="rId52" name="CheckBox57"/>
      </mc:Fallback>
    </mc:AlternateContent>
    <mc:AlternateContent xmlns:mc="http://schemas.openxmlformats.org/markup-compatibility/2006">
      <mc:Choice Requires="x14">
        <control shapeId="1083" r:id="rId53" name="CheckBox58">
          <controlPr defaultSize="0" autoLine="0" linkedCell="A59" r:id="rId5">
            <anchor moveWithCells="1">
              <from>
                <xdr:col>0</xdr:col>
                <xdr:colOff>243840</xdr:colOff>
                <xdr:row>58</xdr:row>
                <xdr:rowOff>0</xdr:rowOff>
              </from>
              <to>
                <xdr:col>0</xdr:col>
                <xdr:colOff>449580</xdr:colOff>
                <xdr:row>59</xdr:row>
                <xdr:rowOff>0</xdr:rowOff>
              </to>
            </anchor>
          </controlPr>
        </control>
      </mc:Choice>
      <mc:Fallback>
        <control shapeId="1083" r:id="rId53" name="CheckBox58"/>
      </mc:Fallback>
    </mc:AlternateContent>
    <mc:AlternateContent xmlns:mc="http://schemas.openxmlformats.org/markup-compatibility/2006">
      <mc:Choice Requires="x14">
        <control shapeId="1084" r:id="rId54" name="CheckBox59">
          <controlPr defaultSize="0" autoLine="0" linkedCell="A60" r:id="rId5">
            <anchor moveWithCells="1">
              <from>
                <xdr:col>0</xdr:col>
                <xdr:colOff>243840</xdr:colOff>
                <xdr:row>59</xdr:row>
                <xdr:rowOff>0</xdr:rowOff>
              </from>
              <to>
                <xdr:col>0</xdr:col>
                <xdr:colOff>449580</xdr:colOff>
                <xdr:row>60</xdr:row>
                <xdr:rowOff>0</xdr:rowOff>
              </to>
            </anchor>
          </controlPr>
        </control>
      </mc:Choice>
      <mc:Fallback>
        <control shapeId="1084" r:id="rId54" name="CheckBox59"/>
      </mc:Fallback>
    </mc:AlternateContent>
    <mc:AlternateContent xmlns:mc="http://schemas.openxmlformats.org/markup-compatibility/2006">
      <mc:Choice Requires="x14">
        <control shapeId="1085" r:id="rId55" name="CheckBox60">
          <controlPr defaultSize="0" autoLine="0" linkedCell="A61" r:id="rId5">
            <anchor moveWithCells="1">
              <from>
                <xdr:col>0</xdr:col>
                <xdr:colOff>243840</xdr:colOff>
                <xdr:row>60</xdr:row>
                <xdr:rowOff>0</xdr:rowOff>
              </from>
              <to>
                <xdr:col>0</xdr:col>
                <xdr:colOff>449580</xdr:colOff>
                <xdr:row>61</xdr:row>
                <xdr:rowOff>0</xdr:rowOff>
              </to>
            </anchor>
          </controlPr>
        </control>
      </mc:Choice>
      <mc:Fallback>
        <control shapeId="1085" r:id="rId55" name="CheckBox60"/>
      </mc:Fallback>
    </mc:AlternateContent>
    <mc:AlternateContent xmlns:mc="http://schemas.openxmlformats.org/markup-compatibility/2006">
      <mc:Choice Requires="x14">
        <control shapeId="1086" r:id="rId56" name="CheckBox61">
          <controlPr defaultSize="0" autoLine="0" linkedCell="A62" r:id="rId5">
            <anchor moveWithCells="1">
              <from>
                <xdr:col>0</xdr:col>
                <xdr:colOff>243840</xdr:colOff>
                <xdr:row>61</xdr:row>
                <xdr:rowOff>0</xdr:rowOff>
              </from>
              <to>
                <xdr:col>0</xdr:col>
                <xdr:colOff>449580</xdr:colOff>
                <xdr:row>62</xdr:row>
                <xdr:rowOff>0</xdr:rowOff>
              </to>
            </anchor>
          </controlPr>
        </control>
      </mc:Choice>
      <mc:Fallback>
        <control shapeId="1086" r:id="rId56" name="CheckBox61"/>
      </mc:Fallback>
    </mc:AlternateContent>
    <mc:AlternateContent xmlns:mc="http://schemas.openxmlformats.org/markup-compatibility/2006">
      <mc:Choice Requires="x14">
        <control shapeId="1087" r:id="rId57" name="CheckBox62">
          <controlPr defaultSize="0" autoLine="0" linkedCell="A63" r:id="rId5">
            <anchor moveWithCells="1">
              <from>
                <xdr:col>0</xdr:col>
                <xdr:colOff>243840</xdr:colOff>
                <xdr:row>62</xdr:row>
                <xdr:rowOff>0</xdr:rowOff>
              </from>
              <to>
                <xdr:col>0</xdr:col>
                <xdr:colOff>449580</xdr:colOff>
                <xdr:row>63</xdr:row>
                <xdr:rowOff>0</xdr:rowOff>
              </to>
            </anchor>
          </controlPr>
        </control>
      </mc:Choice>
      <mc:Fallback>
        <control shapeId="1087" r:id="rId57" name="CheckBox62"/>
      </mc:Fallback>
    </mc:AlternateContent>
    <mc:AlternateContent xmlns:mc="http://schemas.openxmlformats.org/markup-compatibility/2006">
      <mc:Choice Requires="x14">
        <control shapeId="1088" r:id="rId58" name="CheckBox63">
          <controlPr defaultSize="0" autoLine="0" linkedCell="A64" r:id="rId5">
            <anchor moveWithCells="1">
              <from>
                <xdr:col>0</xdr:col>
                <xdr:colOff>243840</xdr:colOff>
                <xdr:row>63</xdr:row>
                <xdr:rowOff>0</xdr:rowOff>
              </from>
              <to>
                <xdr:col>0</xdr:col>
                <xdr:colOff>449580</xdr:colOff>
                <xdr:row>64</xdr:row>
                <xdr:rowOff>0</xdr:rowOff>
              </to>
            </anchor>
          </controlPr>
        </control>
      </mc:Choice>
      <mc:Fallback>
        <control shapeId="1088" r:id="rId58" name="CheckBox63"/>
      </mc:Fallback>
    </mc:AlternateContent>
    <mc:AlternateContent xmlns:mc="http://schemas.openxmlformats.org/markup-compatibility/2006">
      <mc:Choice Requires="x14">
        <control shapeId="1089" r:id="rId59" name="CheckBox64">
          <controlPr defaultSize="0" autoLine="0" linkedCell="A65" r:id="rId18">
            <anchor moveWithCells="1">
              <from>
                <xdr:col>0</xdr:col>
                <xdr:colOff>243840</xdr:colOff>
                <xdr:row>64</xdr:row>
                <xdr:rowOff>0</xdr:rowOff>
              </from>
              <to>
                <xdr:col>0</xdr:col>
                <xdr:colOff>449580</xdr:colOff>
                <xdr:row>64</xdr:row>
                <xdr:rowOff>175260</xdr:rowOff>
              </to>
            </anchor>
          </controlPr>
        </control>
      </mc:Choice>
      <mc:Fallback>
        <control shapeId="1089" r:id="rId59" name="CheckBox64"/>
      </mc:Fallback>
    </mc:AlternateContent>
    <mc:AlternateContent xmlns:mc="http://schemas.openxmlformats.org/markup-compatibility/2006">
      <mc:Choice Requires="x14">
        <control shapeId="1090" r:id="rId60" name="CheckBox65">
          <controlPr defaultSize="0" autoLine="0" linkedCell="A66" r:id="rId18">
            <anchor moveWithCells="1">
              <from>
                <xdr:col>0</xdr:col>
                <xdr:colOff>243840</xdr:colOff>
                <xdr:row>65</xdr:row>
                <xdr:rowOff>0</xdr:rowOff>
              </from>
              <to>
                <xdr:col>0</xdr:col>
                <xdr:colOff>449580</xdr:colOff>
                <xdr:row>65</xdr:row>
                <xdr:rowOff>175260</xdr:rowOff>
              </to>
            </anchor>
          </controlPr>
        </control>
      </mc:Choice>
      <mc:Fallback>
        <control shapeId="1090" r:id="rId60" name="CheckBox65"/>
      </mc:Fallback>
    </mc:AlternateContent>
    <mc:AlternateContent xmlns:mc="http://schemas.openxmlformats.org/markup-compatibility/2006">
      <mc:Choice Requires="x14">
        <control shapeId="1091" r:id="rId61" name="CheckBox66">
          <controlPr defaultSize="0" autoLine="0" linkedCell="A67" r:id="rId5">
            <anchor moveWithCells="1">
              <from>
                <xdr:col>0</xdr:col>
                <xdr:colOff>243840</xdr:colOff>
                <xdr:row>66</xdr:row>
                <xdr:rowOff>0</xdr:rowOff>
              </from>
              <to>
                <xdr:col>0</xdr:col>
                <xdr:colOff>449580</xdr:colOff>
                <xdr:row>67</xdr:row>
                <xdr:rowOff>0</xdr:rowOff>
              </to>
            </anchor>
          </controlPr>
        </control>
      </mc:Choice>
      <mc:Fallback>
        <control shapeId="1091" r:id="rId61" name="CheckBox66"/>
      </mc:Fallback>
    </mc:AlternateContent>
    <mc:AlternateContent xmlns:mc="http://schemas.openxmlformats.org/markup-compatibility/2006">
      <mc:Choice Requires="x14">
        <control shapeId="1092" r:id="rId62" name="CheckBox67">
          <controlPr defaultSize="0" autoLine="0" linkedCell="A68" r:id="rId5">
            <anchor moveWithCells="1">
              <from>
                <xdr:col>0</xdr:col>
                <xdr:colOff>243840</xdr:colOff>
                <xdr:row>67</xdr:row>
                <xdr:rowOff>0</xdr:rowOff>
              </from>
              <to>
                <xdr:col>0</xdr:col>
                <xdr:colOff>449580</xdr:colOff>
                <xdr:row>68</xdr:row>
                <xdr:rowOff>0</xdr:rowOff>
              </to>
            </anchor>
          </controlPr>
        </control>
      </mc:Choice>
      <mc:Fallback>
        <control shapeId="1092" r:id="rId62" name="CheckBox67"/>
      </mc:Fallback>
    </mc:AlternateContent>
    <mc:AlternateContent xmlns:mc="http://schemas.openxmlformats.org/markup-compatibility/2006">
      <mc:Choice Requires="x14">
        <control shapeId="1093" r:id="rId63" name="CheckBox68">
          <controlPr defaultSize="0" autoLine="0" linkedCell="A69" r:id="rId18">
            <anchor moveWithCells="1">
              <from>
                <xdr:col>0</xdr:col>
                <xdr:colOff>243840</xdr:colOff>
                <xdr:row>68</xdr:row>
                <xdr:rowOff>0</xdr:rowOff>
              </from>
              <to>
                <xdr:col>0</xdr:col>
                <xdr:colOff>449580</xdr:colOff>
                <xdr:row>68</xdr:row>
                <xdr:rowOff>175260</xdr:rowOff>
              </to>
            </anchor>
          </controlPr>
        </control>
      </mc:Choice>
      <mc:Fallback>
        <control shapeId="1093" r:id="rId63" name="CheckBox68"/>
      </mc:Fallback>
    </mc:AlternateContent>
    <mc:AlternateContent xmlns:mc="http://schemas.openxmlformats.org/markup-compatibility/2006">
      <mc:Choice Requires="x14">
        <control shapeId="1094" r:id="rId64" name="CheckBox69">
          <controlPr defaultSize="0" autoLine="0" linkedCell="A70" r:id="rId5">
            <anchor moveWithCells="1">
              <from>
                <xdr:col>0</xdr:col>
                <xdr:colOff>243840</xdr:colOff>
                <xdr:row>69</xdr:row>
                <xdr:rowOff>0</xdr:rowOff>
              </from>
              <to>
                <xdr:col>0</xdr:col>
                <xdr:colOff>449580</xdr:colOff>
                <xdr:row>70</xdr:row>
                <xdr:rowOff>0</xdr:rowOff>
              </to>
            </anchor>
          </controlPr>
        </control>
      </mc:Choice>
      <mc:Fallback>
        <control shapeId="1094" r:id="rId64" name="CheckBox69"/>
      </mc:Fallback>
    </mc:AlternateContent>
    <mc:AlternateContent xmlns:mc="http://schemas.openxmlformats.org/markup-compatibility/2006">
      <mc:Choice Requires="x14">
        <control shapeId="1095" r:id="rId65" name="CheckBox70">
          <controlPr defaultSize="0" autoLine="0" linkedCell="A71" r:id="rId18">
            <anchor moveWithCells="1">
              <from>
                <xdr:col>0</xdr:col>
                <xdr:colOff>243840</xdr:colOff>
                <xdr:row>70</xdr:row>
                <xdr:rowOff>0</xdr:rowOff>
              </from>
              <to>
                <xdr:col>0</xdr:col>
                <xdr:colOff>449580</xdr:colOff>
                <xdr:row>70</xdr:row>
                <xdr:rowOff>175260</xdr:rowOff>
              </to>
            </anchor>
          </controlPr>
        </control>
      </mc:Choice>
      <mc:Fallback>
        <control shapeId="1095" r:id="rId65" name="CheckBox70"/>
      </mc:Fallback>
    </mc:AlternateContent>
    <mc:AlternateContent xmlns:mc="http://schemas.openxmlformats.org/markup-compatibility/2006">
      <mc:Choice Requires="x14">
        <control shapeId="1096" r:id="rId66" name="CheckBox71">
          <controlPr defaultSize="0" autoLine="0" linkedCell="A72" r:id="rId5">
            <anchor moveWithCells="1">
              <from>
                <xdr:col>0</xdr:col>
                <xdr:colOff>243840</xdr:colOff>
                <xdr:row>71</xdr:row>
                <xdr:rowOff>0</xdr:rowOff>
              </from>
              <to>
                <xdr:col>0</xdr:col>
                <xdr:colOff>449580</xdr:colOff>
                <xdr:row>72</xdr:row>
                <xdr:rowOff>0</xdr:rowOff>
              </to>
            </anchor>
          </controlPr>
        </control>
      </mc:Choice>
      <mc:Fallback>
        <control shapeId="1096" r:id="rId66" name="CheckBox71"/>
      </mc:Fallback>
    </mc:AlternateContent>
    <mc:AlternateContent xmlns:mc="http://schemas.openxmlformats.org/markup-compatibility/2006">
      <mc:Choice Requires="x14">
        <control shapeId="1097" r:id="rId67" name="CheckBox72">
          <controlPr defaultSize="0" autoLine="0" linkedCell="A73" r:id="rId18">
            <anchor moveWithCells="1">
              <from>
                <xdr:col>0</xdr:col>
                <xdr:colOff>243840</xdr:colOff>
                <xdr:row>72</xdr:row>
                <xdr:rowOff>0</xdr:rowOff>
              </from>
              <to>
                <xdr:col>0</xdr:col>
                <xdr:colOff>449580</xdr:colOff>
                <xdr:row>72</xdr:row>
                <xdr:rowOff>175260</xdr:rowOff>
              </to>
            </anchor>
          </controlPr>
        </control>
      </mc:Choice>
      <mc:Fallback>
        <control shapeId="1097" r:id="rId67" name="CheckBox72"/>
      </mc:Fallback>
    </mc:AlternateContent>
    <mc:AlternateContent xmlns:mc="http://schemas.openxmlformats.org/markup-compatibility/2006">
      <mc:Choice Requires="x14">
        <control shapeId="1098" r:id="rId68" name="CheckBox73">
          <controlPr defaultSize="0" autoLine="0" linkedCell="A74" r:id="rId5">
            <anchor moveWithCells="1">
              <from>
                <xdr:col>0</xdr:col>
                <xdr:colOff>243840</xdr:colOff>
                <xdr:row>73</xdr:row>
                <xdr:rowOff>0</xdr:rowOff>
              </from>
              <to>
                <xdr:col>0</xdr:col>
                <xdr:colOff>449580</xdr:colOff>
                <xdr:row>74</xdr:row>
                <xdr:rowOff>0</xdr:rowOff>
              </to>
            </anchor>
          </controlPr>
        </control>
      </mc:Choice>
      <mc:Fallback>
        <control shapeId="1098" r:id="rId68" name="CheckBox73"/>
      </mc:Fallback>
    </mc:AlternateContent>
    <mc:AlternateContent xmlns:mc="http://schemas.openxmlformats.org/markup-compatibility/2006">
      <mc:Choice Requires="x14">
        <control shapeId="1099" r:id="rId69" name="CheckBox74">
          <controlPr defaultSize="0" autoLine="0" linkedCell="A75" r:id="rId5">
            <anchor moveWithCells="1">
              <from>
                <xdr:col>0</xdr:col>
                <xdr:colOff>243840</xdr:colOff>
                <xdr:row>74</xdr:row>
                <xdr:rowOff>0</xdr:rowOff>
              </from>
              <to>
                <xdr:col>0</xdr:col>
                <xdr:colOff>449580</xdr:colOff>
                <xdr:row>75</xdr:row>
                <xdr:rowOff>0</xdr:rowOff>
              </to>
            </anchor>
          </controlPr>
        </control>
      </mc:Choice>
      <mc:Fallback>
        <control shapeId="1099" r:id="rId69" name="CheckBox74"/>
      </mc:Fallback>
    </mc:AlternateContent>
    <mc:AlternateContent xmlns:mc="http://schemas.openxmlformats.org/markup-compatibility/2006">
      <mc:Choice Requires="x14">
        <control shapeId="1100" r:id="rId70" name="CheckBox75">
          <controlPr defaultSize="0" autoLine="0" linkedCell="A76" r:id="rId18">
            <anchor moveWithCells="1">
              <from>
                <xdr:col>0</xdr:col>
                <xdr:colOff>243840</xdr:colOff>
                <xdr:row>75</xdr:row>
                <xdr:rowOff>0</xdr:rowOff>
              </from>
              <to>
                <xdr:col>0</xdr:col>
                <xdr:colOff>449580</xdr:colOff>
                <xdr:row>75</xdr:row>
                <xdr:rowOff>175260</xdr:rowOff>
              </to>
            </anchor>
          </controlPr>
        </control>
      </mc:Choice>
      <mc:Fallback>
        <control shapeId="1100" r:id="rId70" name="CheckBox75"/>
      </mc:Fallback>
    </mc:AlternateContent>
    <mc:AlternateContent xmlns:mc="http://schemas.openxmlformats.org/markup-compatibility/2006">
      <mc:Choice Requires="x14">
        <control shapeId="1101" r:id="rId71" name="CheckBox76">
          <controlPr defaultSize="0" autoLine="0" linkedCell="A77" r:id="rId5">
            <anchor moveWithCells="1">
              <from>
                <xdr:col>0</xdr:col>
                <xdr:colOff>243840</xdr:colOff>
                <xdr:row>76</xdr:row>
                <xdr:rowOff>0</xdr:rowOff>
              </from>
              <to>
                <xdr:col>0</xdr:col>
                <xdr:colOff>449580</xdr:colOff>
                <xdr:row>77</xdr:row>
                <xdr:rowOff>0</xdr:rowOff>
              </to>
            </anchor>
          </controlPr>
        </control>
      </mc:Choice>
      <mc:Fallback>
        <control shapeId="1101" r:id="rId71" name="CheckBox76"/>
      </mc:Fallback>
    </mc:AlternateContent>
    <mc:AlternateContent xmlns:mc="http://schemas.openxmlformats.org/markup-compatibility/2006">
      <mc:Choice Requires="x14">
        <control shapeId="1103" r:id="rId72" name="CheckBox78">
          <controlPr defaultSize="0" autoLine="0" linkedCell="A79" r:id="rId5">
            <anchor moveWithCells="1">
              <from>
                <xdr:col>0</xdr:col>
                <xdr:colOff>243840</xdr:colOff>
                <xdr:row>78</xdr:row>
                <xdr:rowOff>0</xdr:rowOff>
              </from>
              <to>
                <xdr:col>0</xdr:col>
                <xdr:colOff>449580</xdr:colOff>
                <xdr:row>79</xdr:row>
                <xdr:rowOff>0</xdr:rowOff>
              </to>
            </anchor>
          </controlPr>
        </control>
      </mc:Choice>
      <mc:Fallback>
        <control shapeId="1103" r:id="rId72" name="CheckBox78"/>
      </mc:Fallback>
    </mc:AlternateContent>
    <mc:AlternateContent xmlns:mc="http://schemas.openxmlformats.org/markup-compatibility/2006">
      <mc:Choice Requires="x14">
        <control shapeId="1104" r:id="rId73" name="CheckBox79">
          <controlPr defaultSize="0" autoLine="0" linkedCell="A80" r:id="rId5">
            <anchor moveWithCells="1">
              <from>
                <xdr:col>0</xdr:col>
                <xdr:colOff>243840</xdr:colOff>
                <xdr:row>79</xdr:row>
                <xdr:rowOff>0</xdr:rowOff>
              </from>
              <to>
                <xdr:col>0</xdr:col>
                <xdr:colOff>449580</xdr:colOff>
                <xdr:row>80</xdr:row>
                <xdr:rowOff>0</xdr:rowOff>
              </to>
            </anchor>
          </controlPr>
        </control>
      </mc:Choice>
      <mc:Fallback>
        <control shapeId="1104" r:id="rId73" name="CheckBox79"/>
      </mc:Fallback>
    </mc:AlternateContent>
    <mc:AlternateContent xmlns:mc="http://schemas.openxmlformats.org/markup-compatibility/2006">
      <mc:Choice Requires="x14">
        <control shapeId="1105" r:id="rId74" name="CheckBox80">
          <controlPr defaultSize="0" autoLine="0" linkedCell="A81" r:id="rId75">
            <anchor moveWithCells="1">
              <from>
                <xdr:col>0</xdr:col>
                <xdr:colOff>243840</xdr:colOff>
                <xdr:row>80</xdr:row>
                <xdr:rowOff>0</xdr:rowOff>
              </from>
              <to>
                <xdr:col>0</xdr:col>
                <xdr:colOff>449580</xdr:colOff>
                <xdr:row>80</xdr:row>
                <xdr:rowOff>175260</xdr:rowOff>
              </to>
            </anchor>
          </controlPr>
        </control>
      </mc:Choice>
      <mc:Fallback>
        <control shapeId="1105" r:id="rId74" name="CheckBox80"/>
      </mc:Fallback>
    </mc:AlternateContent>
    <mc:AlternateContent xmlns:mc="http://schemas.openxmlformats.org/markup-compatibility/2006">
      <mc:Choice Requires="x14">
        <control shapeId="1106" r:id="rId76" name="CheckBox81">
          <controlPr defaultSize="0" autoLine="0" linkedCell="A82" r:id="rId75">
            <anchor moveWithCells="1">
              <from>
                <xdr:col>0</xdr:col>
                <xdr:colOff>243840</xdr:colOff>
                <xdr:row>81</xdr:row>
                <xdr:rowOff>0</xdr:rowOff>
              </from>
              <to>
                <xdr:col>0</xdr:col>
                <xdr:colOff>449580</xdr:colOff>
                <xdr:row>81</xdr:row>
                <xdr:rowOff>175260</xdr:rowOff>
              </to>
            </anchor>
          </controlPr>
        </control>
      </mc:Choice>
      <mc:Fallback>
        <control shapeId="1106" r:id="rId76" name="CheckBox81"/>
      </mc:Fallback>
    </mc:AlternateContent>
    <mc:AlternateContent xmlns:mc="http://schemas.openxmlformats.org/markup-compatibility/2006">
      <mc:Choice Requires="x14">
        <control shapeId="1107" r:id="rId77" name="CheckBox82">
          <controlPr defaultSize="0" autoLine="0" linkedCell="A83" r:id="rId75">
            <anchor moveWithCells="1">
              <from>
                <xdr:col>0</xdr:col>
                <xdr:colOff>243840</xdr:colOff>
                <xdr:row>82</xdr:row>
                <xdr:rowOff>0</xdr:rowOff>
              </from>
              <to>
                <xdr:col>0</xdr:col>
                <xdr:colOff>449580</xdr:colOff>
                <xdr:row>82</xdr:row>
                <xdr:rowOff>175260</xdr:rowOff>
              </to>
            </anchor>
          </controlPr>
        </control>
      </mc:Choice>
      <mc:Fallback>
        <control shapeId="1107" r:id="rId77" name="CheckBox82"/>
      </mc:Fallback>
    </mc:AlternateContent>
    <mc:AlternateContent xmlns:mc="http://schemas.openxmlformats.org/markup-compatibility/2006">
      <mc:Choice Requires="x14">
        <control shapeId="1108" r:id="rId78" name="CheckBox83">
          <controlPr defaultSize="0" autoLine="0" linkedCell="A84" r:id="rId75">
            <anchor moveWithCells="1">
              <from>
                <xdr:col>0</xdr:col>
                <xdr:colOff>243840</xdr:colOff>
                <xdr:row>83</xdr:row>
                <xdr:rowOff>0</xdr:rowOff>
              </from>
              <to>
                <xdr:col>0</xdr:col>
                <xdr:colOff>449580</xdr:colOff>
                <xdr:row>83</xdr:row>
                <xdr:rowOff>175260</xdr:rowOff>
              </to>
            </anchor>
          </controlPr>
        </control>
      </mc:Choice>
      <mc:Fallback>
        <control shapeId="1108" r:id="rId78" name="CheckBox83"/>
      </mc:Fallback>
    </mc:AlternateContent>
    <mc:AlternateContent xmlns:mc="http://schemas.openxmlformats.org/markup-compatibility/2006">
      <mc:Choice Requires="x14">
        <control shapeId="1109" r:id="rId79" name="CheckBox84">
          <controlPr defaultSize="0" autoLine="0" linkedCell="A85" r:id="rId75">
            <anchor moveWithCells="1">
              <from>
                <xdr:col>0</xdr:col>
                <xdr:colOff>243840</xdr:colOff>
                <xdr:row>84</xdr:row>
                <xdr:rowOff>0</xdr:rowOff>
              </from>
              <to>
                <xdr:col>0</xdr:col>
                <xdr:colOff>449580</xdr:colOff>
                <xdr:row>84</xdr:row>
                <xdr:rowOff>175260</xdr:rowOff>
              </to>
            </anchor>
          </controlPr>
        </control>
      </mc:Choice>
      <mc:Fallback>
        <control shapeId="1109" r:id="rId79" name="CheckBox84"/>
      </mc:Fallback>
    </mc:AlternateContent>
    <mc:AlternateContent xmlns:mc="http://schemas.openxmlformats.org/markup-compatibility/2006">
      <mc:Choice Requires="x14">
        <control shapeId="1110" r:id="rId80" name="CheckBox85">
          <controlPr defaultSize="0" autoLine="0" linkedCell="A86" r:id="rId75">
            <anchor moveWithCells="1">
              <from>
                <xdr:col>0</xdr:col>
                <xdr:colOff>243840</xdr:colOff>
                <xdr:row>85</xdr:row>
                <xdr:rowOff>0</xdr:rowOff>
              </from>
              <to>
                <xdr:col>0</xdr:col>
                <xdr:colOff>449580</xdr:colOff>
                <xdr:row>85</xdr:row>
                <xdr:rowOff>175260</xdr:rowOff>
              </to>
            </anchor>
          </controlPr>
        </control>
      </mc:Choice>
      <mc:Fallback>
        <control shapeId="1110" r:id="rId80" name="CheckBox85"/>
      </mc:Fallback>
    </mc:AlternateContent>
    <mc:AlternateContent xmlns:mc="http://schemas.openxmlformats.org/markup-compatibility/2006">
      <mc:Choice Requires="x14">
        <control shapeId="1111" r:id="rId81" name="CheckBox86">
          <controlPr defaultSize="0" autoLine="0" linkedCell="A87" r:id="rId75">
            <anchor moveWithCells="1">
              <from>
                <xdr:col>0</xdr:col>
                <xdr:colOff>243840</xdr:colOff>
                <xdr:row>86</xdr:row>
                <xdr:rowOff>0</xdr:rowOff>
              </from>
              <to>
                <xdr:col>0</xdr:col>
                <xdr:colOff>449580</xdr:colOff>
                <xdr:row>86</xdr:row>
                <xdr:rowOff>175260</xdr:rowOff>
              </to>
            </anchor>
          </controlPr>
        </control>
      </mc:Choice>
      <mc:Fallback>
        <control shapeId="1111" r:id="rId81" name="CheckBox86"/>
      </mc:Fallback>
    </mc:AlternateContent>
    <mc:AlternateContent xmlns:mc="http://schemas.openxmlformats.org/markup-compatibility/2006">
      <mc:Choice Requires="x14">
        <control shapeId="1112" r:id="rId82" name="CheckBox87">
          <controlPr defaultSize="0" autoLine="0" linkedCell="A88" r:id="rId75">
            <anchor moveWithCells="1">
              <from>
                <xdr:col>0</xdr:col>
                <xdr:colOff>243840</xdr:colOff>
                <xdr:row>87</xdr:row>
                <xdr:rowOff>0</xdr:rowOff>
              </from>
              <to>
                <xdr:col>0</xdr:col>
                <xdr:colOff>449580</xdr:colOff>
                <xdr:row>87</xdr:row>
                <xdr:rowOff>175260</xdr:rowOff>
              </to>
            </anchor>
          </controlPr>
        </control>
      </mc:Choice>
      <mc:Fallback>
        <control shapeId="1112" r:id="rId82" name="CheckBox87"/>
      </mc:Fallback>
    </mc:AlternateContent>
    <mc:AlternateContent xmlns:mc="http://schemas.openxmlformats.org/markup-compatibility/2006">
      <mc:Choice Requires="x14">
        <control shapeId="1113" r:id="rId83" name="CheckBox88">
          <controlPr defaultSize="0" autoLine="0" linkedCell="A89" r:id="rId75">
            <anchor moveWithCells="1">
              <from>
                <xdr:col>0</xdr:col>
                <xdr:colOff>243840</xdr:colOff>
                <xdr:row>88</xdr:row>
                <xdr:rowOff>0</xdr:rowOff>
              </from>
              <to>
                <xdr:col>0</xdr:col>
                <xdr:colOff>449580</xdr:colOff>
                <xdr:row>88</xdr:row>
                <xdr:rowOff>175260</xdr:rowOff>
              </to>
            </anchor>
          </controlPr>
        </control>
      </mc:Choice>
      <mc:Fallback>
        <control shapeId="1113" r:id="rId83" name="CheckBox88"/>
      </mc:Fallback>
    </mc:AlternateContent>
    <mc:AlternateContent xmlns:mc="http://schemas.openxmlformats.org/markup-compatibility/2006">
      <mc:Choice Requires="x14">
        <control shapeId="1114" r:id="rId84" name="CheckBox89">
          <controlPr defaultSize="0" autoLine="0" linkedCell="A90" r:id="rId75">
            <anchor moveWithCells="1">
              <from>
                <xdr:col>0</xdr:col>
                <xdr:colOff>243840</xdr:colOff>
                <xdr:row>89</xdr:row>
                <xdr:rowOff>0</xdr:rowOff>
              </from>
              <to>
                <xdr:col>0</xdr:col>
                <xdr:colOff>449580</xdr:colOff>
                <xdr:row>89</xdr:row>
                <xdr:rowOff>175260</xdr:rowOff>
              </to>
            </anchor>
          </controlPr>
        </control>
      </mc:Choice>
      <mc:Fallback>
        <control shapeId="1114" r:id="rId84" name="CheckBox89"/>
      </mc:Fallback>
    </mc:AlternateContent>
    <mc:AlternateContent xmlns:mc="http://schemas.openxmlformats.org/markup-compatibility/2006">
      <mc:Choice Requires="x14">
        <control shapeId="1117" r:id="rId85" name="CheckBox92">
          <controlPr defaultSize="0" autoLine="0" linkedCell="A93" r:id="rId75">
            <anchor moveWithCells="1">
              <from>
                <xdr:col>0</xdr:col>
                <xdr:colOff>243840</xdr:colOff>
                <xdr:row>92</xdr:row>
                <xdr:rowOff>0</xdr:rowOff>
              </from>
              <to>
                <xdr:col>0</xdr:col>
                <xdr:colOff>449580</xdr:colOff>
                <xdr:row>92</xdr:row>
                <xdr:rowOff>175260</xdr:rowOff>
              </to>
            </anchor>
          </controlPr>
        </control>
      </mc:Choice>
      <mc:Fallback>
        <control shapeId="1117" r:id="rId85" name="CheckBox92"/>
      </mc:Fallback>
    </mc:AlternateContent>
    <mc:AlternateContent xmlns:mc="http://schemas.openxmlformats.org/markup-compatibility/2006">
      <mc:Choice Requires="x14">
        <control shapeId="1118" r:id="rId86" name="CheckBox93">
          <controlPr defaultSize="0" autoLine="0" linkedCell="A94" r:id="rId75">
            <anchor moveWithCells="1">
              <from>
                <xdr:col>0</xdr:col>
                <xdr:colOff>243840</xdr:colOff>
                <xdr:row>93</xdr:row>
                <xdr:rowOff>0</xdr:rowOff>
              </from>
              <to>
                <xdr:col>0</xdr:col>
                <xdr:colOff>449580</xdr:colOff>
                <xdr:row>93</xdr:row>
                <xdr:rowOff>175260</xdr:rowOff>
              </to>
            </anchor>
          </controlPr>
        </control>
      </mc:Choice>
      <mc:Fallback>
        <control shapeId="1118" r:id="rId86" name="CheckBox93"/>
      </mc:Fallback>
    </mc:AlternateContent>
    <mc:AlternateContent xmlns:mc="http://schemas.openxmlformats.org/markup-compatibility/2006">
      <mc:Choice Requires="x14">
        <control shapeId="1119" r:id="rId87" name="CheckBox94">
          <controlPr defaultSize="0" autoLine="0" linkedCell="A95" r:id="rId75">
            <anchor moveWithCells="1">
              <from>
                <xdr:col>0</xdr:col>
                <xdr:colOff>243840</xdr:colOff>
                <xdr:row>94</xdr:row>
                <xdr:rowOff>0</xdr:rowOff>
              </from>
              <to>
                <xdr:col>0</xdr:col>
                <xdr:colOff>449580</xdr:colOff>
                <xdr:row>94</xdr:row>
                <xdr:rowOff>175260</xdr:rowOff>
              </to>
            </anchor>
          </controlPr>
        </control>
      </mc:Choice>
      <mc:Fallback>
        <control shapeId="1119" r:id="rId87" name="CheckBox94"/>
      </mc:Fallback>
    </mc:AlternateContent>
    <mc:AlternateContent xmlns:mc="http://schemas.openxmlformats.org/markup-compatibility/2006">
      <mc:Choice Requires="x14">
        <control shapeId="1120" r:id="rId88" name="CheckBox95">
          <controlPr defaultSize="0" autoLine="0" linkedCell="A96" r:id="rId89">
            <anchor moveWithCells="1">
              <from>
                <xdr:col>0</xdr:col>
                <xdr:colOff>243840</xdr:colOff>
                <xdr:row>95</xdr:row>
                <xdr:rowOff>0</xdr:rowOff>
              </from>
              <to>
                <xdr:col>0</xdr:col>
                <xdr:colOff>449580</xdr:colOff>
                <xdr:row>96</xdr:row>
                <xdr:rowOff>0</xdr:rowOff>
              </to>
            </anchor>
          </controlPr>
        </control>
      </mc:Choice>
      <mc:Fallback>
        <control shapeId="1120" r:id="rId88" name="CheckBox95"/>
      </mc:Fallback>
    </mc:AlternateContent>
    <mc:AlternateContent xmlns:mc="http://schemas.openxmlformats.org/markup-compatibility/2006">
      <mc:Choice Requires="x14">
        <control shapeId="1121" r:id="rId90" name="CheckBox96">
          <controlPr defaultSize="0" autoLine="0" linkedCell="A97" r:id="rId89">
            <anchor moveWithCells="1">
              <from>
                <xdr:col>0</xdr:col>
                <xdr:colOff>243840</xdr:colOff>
                <xdr:row>96</xdr:row>
                <xdr:rowOff>0</xdr:rowOff>
              </from>
              <to>
                <xdr:col>0</xdr:col>
                <xdr:colOff>449580</xdr:colOff>
                <xdr:row>97</xdr:row>
                <xdr:rowOff>0</xdr:rowOff>
              </to>
            </anchor>
          </controlPr>
        </control>
      </mc:Choice>
      <mc:Fallback>
        <control shapeId="1121" r:id="rId90" name="CheckBox96"/>
      </mc:Fallback>
    </mc:AlternateContent>
    <mc:AlternateContent xmlns:mc="http://schemas.openxmlformats.org/markup-compatibility/2006">
      <mc:Choice Requires="x14">
        <control shapeId="1122" r:id="rId91" name="CheckBox97">
          <controlPr defaultSize="0" autoLine="0" linkedCell="A98" r:id="rId75">
            <anchor moveWithCells="1">
              <from>
                <xdr:col>0</xdr:col>
                <xdr:colOff>243840</xdr:colOff>
                <xdr:row>97</xdr:row>
                <xdr:rowOff>0</xdr:rowOff>
              </from>
              <to>
                <xdr:col>0</xdr:col>
                <xdr:colOff>449580</xdr:colOff>
                <xdr:row>97</xdr:row>
                <xdr:rowOff>175260</xdr:rowOff>
              </to>
            </anchor>
          </controlPr>
        </control>
      </mc:Choice>
      <mc:Fallback>
        <control shapeId="1122" r:id="rId91" name="CheckBox97"/>
      </mc:Fallback>
    </mc:AlternateContent>
    <mc:AlternateContent xmlns:mc="http://schemas.openxmlformats.org/markup-compatibility/2006">
      <mc:Choice Requires="x14">
        <control shapeId="1123" r:id="rId92" name="CheckBox98">
          <controlPr defaultSize="0" autoLine="0" linkedCell="A99" r:id="rId89">
            <anchor moveWithCells="1">
              <from>
                <xdr:col>0</xdr:col>
                <xdr:colOff>243840</xdr:colOff>
                <xdr:row>98</xdr:row>
                <xdr:rowOff>0</xdr:rowOff>
              </from>
              <to>
                <xdr:col>0</xdr:col>
                <xdr:colOff>449580</xdr:colOff>
                <xdr:row>99</xdr:row>
                <xdr:rowOff>0</xdr:rowOff>
              </to>
            </anchor>
          </controlPr>
        </control>
      </mc:Choice>
      <mc:Fallback>
        <control shapeId="1123" r:id="rId92" name="CheckBox98"/>
      </mc:Fallback>
    </mc:AlternateContent>
    <mc:AlternateContent xmlns:mc="http://schemas.openxmlformats.org/markup-compatibility/2006">
      <mc:Choice Requires="x14">
        <control shapeId="1124" r:id="rId93" name="CheckBox99">
          <controlPr defaultSize="0" autoLine="0" linkedCell="A100" r:id="rId89">
            <anchor moveWithCells="1">
              <from>
                <xdr:col>0</xdr:col>
                <xdr:colOff>243840</xdr:colOff>
                <xdr:row>99</xdr:row>
                <xdr:rowOff>0</xdr:rowOff>
              </from>
              <to>
                <xdr:col>0</xdr:col>
                <xdr:colOff>449580</xdr:colOff>
                <xdr:row>100</xdr:row>
                <xdr:rowOff>0</xdr:rowOff>
              </to>
            </anchor>
          </controlPr>
        </control>
      </mc:Choice>
      <mc:Fallback>
        <control shapeId="1124" r:id="rId93" name="CheckBox99"/>
      </mc:Fallback>
    </mc:AlternateContent>
    <mc:AlternateContent xmlns:mc="http://schemas.openxmlformats.org/markup-compatibility/2006">
      <mc:Choice Requires="x14">
        <control shapeId="1125" r:id="rId94" name="CheckBox100">
          <controlPr defaultSize="0" autoLine="0" linkedCell="A101" r:id="rId75">
            <anchor moveWithCells="1">
              <from>
                <xdr:col>0</xdr:col>
                <xdr:colOff>243840</xdr:colOff>
                <xdr:row>100</xdr:row>
                <xdr:rowOff>0</xdr:rowOff>
              </from>
              <to>
                <xdr:col>0</xdr:col>
                <xdr:colOff>449580</xdr:colOff>
                <xdr:row>100</xdr:row>
                <xdr:rowOff>175260</xdr:rowOff>
              </to>
            </anchor>
          </controlPr>
        </control>
      </mc:Choice>
      <mc:Fallback>
        <control shapeId="1125" r:id="rId94" name="CheckBox100"/>
      </mc:Fallback>
    </mc:AlternateContent>
    <mc:AlternateContent xmlns:mc="http://schemas.openxmlformats.org/markup-compatibility/2006">
      <mc:Choice Requires="x14">
        <control shapeId="1126" r:id="rId95" name="CheckBox101">
          <controlPr defaultSize="0" autoLine="0" linkedCell="A102" r:id="rId89">
            <anchor moveWithCells="1">
              <from>
                <xdr:col>0</xdr:col>
                <xdr:colOff>243840</xdr:colOff>
                <xdr:row>101</xdr:row>
                <xdr:rowOff>0</xdr:rowOff>
              </from>
              <to>
                <xdr:col>0</xdr:col>
                <xdr:colOff>449580</xdr:colOff>
                <xdr:row>102</xdr:row>
                <xdr:rowOff>0</xdr:rowOff>
              </to>
            </anchor>
          </controlPr>
        </control>
      </mc:Choice>
      <mc:Fallback>
        <control shapeId="1126" r:id="rId95" name="CheckBox101"/>
      </mc:Fallback>
    </mc:AlternateContent>
    <mc:AlternateContent xmlns:mc="http://schemas.openxmlformats.org/markup-compatibility/2006">
      <mc:Choice Requires="x14">
        <control shapeId="1127" r:id="rId96" name="CheckBox102">
          <controlPr defaultSize="0" autoLine="0" linkedCell="A103" r:id="rId75">
            <anchor moveWithCells="1">
              <from>
                <xdr:col>0</xdr:col>
                <xdr:colOff>243840</xdr:colOff>
                <xdr:row>102</xdr:row>
                <xdr:rowOff>0</xdr:rowOff>
              </from>
              <to>
                <xdr:col>0</xdr:col>
                <xdr:colOff>449580</xdr:colOff>
                <xdr:row>102</xdr:row>
                <xdr:rowOff>175260</xdr:rowOff>
              </to>
            </anchor>
          </controlPr>
        </control>
      </mc:Choice>
      <mc:Fallback>
        <control shapeId="1127" r:id="rId96" name="CheckBox102"/>
      </mc:Fallback>
    </mc:AlternateContent>
    <mc:AlternateContent xmlns:mc="http://schemas.openxmlformats.org/markup-compatibility/2006">
      <mc:Choice Requires="x14">
        <control shapeId="1128" r:id="rId97" name="CheckBox103">
          <controlPr defaultSize="0" autoLine="0" linkedCell="A104" r:id="rId89">
            <anchor moveWithCells="1">
              <from>
                <xdr:col>0</xdr:col>
                <xdr:colOff>243840</xdr:colOff>
                <xdr:row>103</xdr:row>
                <xdr:rowOff>0</xdr:rowOff>
              </from>
              <to>
                <xdr:col>0</xdr:col>
                <xdr:colOff>449580</xdr:colOff>
                <xdr:row>104</xdr:row>
                <xdr:rowOff>0</xdr:rowOff>
              </to>
            </anchor>
          </controlPr>
        </control>
      </mc:Choice>
      <mc:Fallback>
        <control shapeId="1128" r:id="rId97" name="CheckBox103"/>
      </mc:Fallback>
    </mc:AlternateContent>
    <mc:AlternateContent xmlns:mc="http://schemas.openxmlformats.org/markup-compatibility/2006">
      <mc:Choice Requires="x14">
        <control shapeId="1131" r:id="rId98" name="CheckBox106">
          <controlPr defaultSize="0" autoLine="0" linkedCell="A107" r:id="rId5">
            <anchor moveWithCells="1">
              <from>
                <xdr:col>0</xdr:col>
                <xdr:colOff>243840</xdr:colOff>
                <xdr:row>106</xdr:row>
                <xdr:rowOff>0</xdr:rowOff>
              </from>
              <to>
                <xdr:col>0</xdr:col>
                <xdr:colOff>449580</xdr:colOff>
                <xdr:row>107</xdr:row>
                <xdr:rowOff>0</xdr:rowOff>
              </to>
            </anchor>
          </controlPr>
        </control>
      </mc:Choice>
      <mc:Fallback>
        <control shapeId="1131" r:id="rId98" name="CheckBox106"/>
      </mc:Fallback>
    </mc:AlternateContent>
    <mc:AlternateContent xmlns:mc="http://schemas.openxmlformats.org/markup-compatibility/2006">
      <mc:Choice Requires="x14">
        <control shapeId="1132" r:id="rId99" name="CheckBox107">
          <controlPr defaultSize="0" autoLine="0" linkedCell="A108" r:id="rId18">
            <anchor moveWithCells="1">
              <from>
                <xdr:col>0</xdr:col>
                <xdr:colOff>243840</xdr:colOff>
                <xdr:row>107</xdr:row>
                <xdr:rowOff>0</xdr:rowOff>
              </from>
              <to>
                <xdr:col>0</xdr:col>
                <xdr:colOff>449580</xdr:colOff>
                <xdr:row>107</xdr:row>
                <xdr:rowOff>175260</xdr:rowOff>
              </to>
            </anchor>
          </controlPr>
        </control>
      </mc:Choice>
      <mc:Fallback>
        <control shapeId="1132" r:id="rId99" name="CheckBox107"/>
      </mc:Fallback>
    </mc:AlternateContent>
    <mc:AlternateContent xmlns:mc="http://schemas.openxmlformats.org/markup-compatibility/2006">
      <mc:Choice Requires="x14">
        <control shapeId="1133" r:id="rId100" name="CheckBox108">
          <controlPr defaultSize="0" autoLine="0" linkedCell="A109" r:id="rId5">
            <anchor moveWithCells="1">
              <from>
                <xdr:col>0</xdr:col>
                <xdr:colOff>243840</xdr:colOff>
                <xdr:row>108</xdr:row>
                <xdr:rowOff>0</xdr:rowOff>
              </from>
              <to>
                <xdr:col>0</xdr:col>
                <xdr:colOff>449580</xdr:colOff>
                <xdr:row>109</xdr:row>
                <xdr:rowOff>0</xdr:rowOff>
              </to>
            </anchor>
          </controlPr>
        </control>
      </mc:Choice>
      <mc:Fallback>
        <control shapeId="1133" r:id="rId100" name="CheckBox108"/>
      </mc:Fallback>
    </mc:AlternateContent>
    <mc:AlternateContent xmlns:mc="http://schemas.openxmlformats.org/markup-compatibility/2006">
      <mc:Choice Requires="x14">
        <control shapeId="1134" r:id="rId101" name="CheckBox109">
          <controlPr defaultSize="0" autoLine="0" linkedCell="A110" r:id="rId5">
            <anchor moveWithCells="1">
              <from>
                <xdr:col>0</xdr:col>
                <xdr:colOff>243840</xdr:colOff>
                <xdr:row>109</xdr:row>
                <xdr:rowOff>0</xdr:rowOff>
              </from>
              <to>
                <xdr:col>0</xdr:col>
                <xdr:colOff>449580</xdr:colOff>
                <xdr:row>110</xdr:row>
                <xdr:rowOff>0</xdr:rowOff>
              </to>
            </anchor>
          </controlPr>
        </control>
      </mc:Choice>
      <mc:Fallback>
        <control shapeId="1134" r:id="rId101" name="CheckBox109"/>
      </mc:Fallback>
    </mc:AlternateContent>
    <mc:AlternateContent xmlns:mc="http://schemas.openxmlformats.org/markup-compatibility/2006">
      <mc:Choice Requires="x14">
        <control shapeId="1135" r:id="rId102" name="CheckBox110">
          <controlPr defaultSize="0" autoLine="0" linkedCell="A111" r:id="rId18">
            <anchor moveWithCells="1">
              <from>
                <xdr:col>0</xdr:col>
                <xdr:colOff>243840</xdr:colOff>
                <xdr:row>110</xdr:row>
                <xdr:rowOff>0</xdr:rowOff>
              </from>
              <to>
                <xdr:col>0</xdr:col>
                <xdr:colOff>449580</xdr:colOff>
                <xdr:row>110</xdr:row>
                <xdr:rowOff>175260</xdr:rowOff>
              </to>
            </anchor>
          </controlPr>
        </control>
      </mc:Choice>
      <mc:Fallback>
        <control shapeId="1135" r:id="rId102" name="CheckBox110"/>
      </mc:Fallback>
    </mc:AlternateContent>
    <mc:AlternateContent xmlns:mc="http://schemas.openxmlformats.org/markup-compatibility/2006">
      <mc:Choice Requires="x14">
        <control shapeId="1136" r:id="rId103" name="CheckBox111">
          <controlPr defaultSize="0" autoLine="0" linkedCell="A112" r:id="rId5">
            <anchor moveWithCells="1">
              <from>
                <xdr:col>0</xdr:col>
                <xdr:colOff>243840</xdr:colOff>
                <xdr:row>111</xdr:row>
                <xdr:rowOff>0</xdr:rowOff>
              </from>
              <to>
                <xdr:col>0</xdr:col>
                <xdr:colOff>449580</xdr:colOff>
                <xdr:row>112</xdr:row>
                <xdr:rowOff>0</xdr:rowOff>
              </to>
            </anchor>
          </controlPr>
        </control>
      </mc:Choice>
      <mc:Fallback>
        <control shapeId="1136" r:id="rId103" name="CheckBox111"/>
      </mc:Fallback>
    </mc:AlternateContent>
    <mc:AlternateContent xmlns:mc="http://schemas.openxmlformats.org/markup-compatibility/2006">
      <mc:Choice Requires="x14">
        <control shapeId="1137" r:id="rId104" name="CheckBox112">
          <controlPr defaultSize="0" autoLine="0" linkedCell="A113" r:id="rId5">
            <anchor moveWithCells="1">
              <from>
                <xdr:col>0</xdr:col>
                <xdr:colOff>243840</xdr:colOff>
                <xdr:row>112</xdr:row>
                <xdr:rowOff>0</xdr:rowOff>
              </from>
              <to>
                <xdr:col>0</xdr:col>
                <xdr:colOff>449580</xdr:colOff>
                <xdr:row>113</xdr:row>
                <xdr:rowOff>0</xdr:rowOff>
              </to>
            </anchor>
          </controlPr>
        </control>
      </mc:Choice>
      <mc:Fallback>
        <control shapeId="1137" r:id="rId104" name="CheckBox112"/>
      </mc:Fallback>
    </mc:AlternateContent>
    <mc:AlternateContent xmlns:mc="http://schemas.openxmlformats.org/markup-compatibility/2006">
      <mc:Choice Requires="x14">
        <control shapeId="1138" r:id="rId105" name="CheckBox113">
          <controlPr defaultSize="0" autoLine="0" linkedCell="A114" r:id="rId18">
            <anchor moveWithCells="1">
              <from>
                <xdr:col>0</xdr:col>
                <xdr:colOff>243840</xdr:colOff>
                <xdr:row>113</xdr:row>
                <xdr:rowOff>0</xdr:rowOff>
              </from>
              <to>
                <xdr:col>0</xdr:col>
                <xdr:colOff>449580</xdr:colOff>
                <xdr:row>113</xdr:row>
                <xdr:rowOff>175260</xdr:rowOff>
              </to>
            </anchor>
          </controlPr>
        </control>
      </mc:Choice>
      <mc:Fallback>
        <control shapeId="1138" r:id="rId105" name="CheckBox113"/>
      </mc:Fallback>
    </mc:AlternateContent>
    <mc:AlternateContent xmlns:mc="http://schemas.openxmlformats.org/markup-compatibility/2006">
      <mc:Choice Requires="x14">
        <control shapeId="1139" r:id="rId106" name="CheckBox114">
          <controlPr defaultSize="0" autoLine="0" linkedCell="A115" r:id="rId5">
            <anchor moveWithCells="1">
              <from>
                <xdr:col>0</xdr:col>
                <xdr:colOff>243840</xdr:colOff>
                <xdr:row>114</xdr:row>
                <xdr:rowOff>0</xdr:rowOff>
              </from>
              <to>
                <xdr:col>0</xdr:col>
                <xdr:colOff>449580</xdr:colOff>
                <xdr:row>115</xdr:row>
                <xdr:rowOff>0</xdr:rowOff>
              </to>
            </anchor>
          </controlPr>
        </control>
      </mc:Choice>
      <mc:Fallback>
        <control shapeId="1139" r:id="rId106" name="CheckBox114"/>
      </mc:Fallback>
    </mc:AlternateContent>
    <mc:AlternateContent xmlns:mc="http://schemas.openxmlformats.org/markup-compatibility/2006">
      <mc:Choice Requires="x14">
        <control shapeId="1140" r:id="rId107" name="CheckBox115">
          <controlPr defaultSize="0" autoLine="0" linkedCell="A116" r:id="rId5">
            <anchor moveWithCells="1">
              <from>
                <xdr:col>0</xdr:col>
                <xdr:colOff>243840</xdr:colOff>
                <xdr:row>115</xdr:row>
                <xdr:rowOff>0</xdr:rowOff>
              </from>
              <to>
                <xdr:col>0</xdr:col>
                <xdr:colOff>449580</xdr:colOff>
                <xdr:row>116</xdr:row>
                <xdr:rowOff>0</xdr:rowOff>
              </to>
            </anchor>
          </controlPr>
        </control>
      </mc:Choice>
      <mc:Fallback>
        <control shapeId="1140" r:id="rId107" name="CheckBox115"/>
      </mc:Fallback>
    </mc:AlternateContent>
    <mc:AlternateContent xmlns:mc="http://schemas.openxmlformats.org/markup-compatibility/2006">
      <mc:Choice Requires="x14">
        <control shapeId="1141" r:id="rId108" name="CheckBox116">
          <controlPr defaultSize="0" autoLine="0" linkedCell="A117" r:id="rId5">
            <anchor moveWithCells="1">
              <from>
                <xdr:col>0</xdr:col>
                <xdr:colOff>243840</xdr:colOff>
                <xdr:row>116</xdr:row>
                <xdr:rowOff>0</xdr:rowOff>
              </from>
              <to>
                <xdr:col>0</xdr:col>
                <xdr:colOff>449580</xdr:colOff>
                <xdr:row>117</xdr:row>
                <xdr:rowOff>0</xdr:rowOff>
              </to>
            </anchor>
          </controlPr>
        </control>
      </mc:Choice>
      <mc:Fallback>
        <control shapeId="1141" r:id="rId108" name="CheckBox116"/>
      </mc:Fallback>
    </mc:AlternateContent>
    <mc:AlternateContent xmlns:mc="http://schemas.openxmlformats.org/markup-compatibility/2006">
      <mc:Choice Requires="x14">
        <control shapeId="1142" r:id="rId109" name="CheckBox117">
          <controlPr defaultSize="0" autoLine="0" linkedCell="A118" r:id="rId5">
            <anchor moveWithCells="1">
              <from>
                <xdr:col>0</xdr:col>
                <xdr:colOff>243840</xdr:colOff>
                <xdr:row>117</xdr:row>
                <xdr:rowOff>0</xdr:rowOff>
              </from>
              <to>
                <xdr:col>0</xdr:col>
                <xdr:colOff>449580</xdr:colOff>
                <xdr:row>118</xdr:row>
                <xdr:rowOff>0</xdr:rowOff>
              </to>
            </anchor>
          </controlPr>
        </control>
      </mc:Choice>
      <mc:Fallback>
        <control shapeId="1142" r:id="rId109" name="CheckBox117"/>
      </mc:Fallback>
    </mc:AlternateContent>
    <mc:AlternateContent xmlns:mc="http://schemas.openxmlformats.org/markup-compatibility/2006">
      <mc:Choice Requires="x14">
        <control shapeId="1143" r:id="rId110" name="CheckBox118">
          <controlPr defaultSize="0" autoLine="0" linkedCell="A119" r:id="rId5">
            <anchor moveWithCells="1">
              <from>
                <xdr:col>0</xdr:col>
                <xdr:colOff>243840</xdr:colOff>
                <xdr:row>118</xdr:row>
                <xdr:rowOff>0</xdr:rowOff>
              </from>
              <to>
                <xdr:col>0</xdr:col>
                <xdr:colOff>449580</xdr:colOff>
                <xdr:row>119</xdr:row>
                <xdr:rowOff>0</xdr:rowOff>
              </to>
            </anchor>
          </controlPr>
        </control>
      </mc:Choice>
      <mc:Fallback>
        <control shapeId="1143" r:id="rId110" name="CheckBox118"/>
      </mc:Fallback>
    </mc:AlternateContent>
    <mc:AlternateContent xmlns:mc="http://schemas.openxmlformats.org/markup-compatibility/2006">
      <mc:Choice Requires="x14">
        <control shapeId="1144" r:id="rId111" name="CheckBox119">
          <controlPr defaultSize="0" autoLine="0" linkedCell="A120" r:id="rId5">
            <anchor moveWithCells="1">
              <from>
                <xdr:col>0</xdr:col>
                <xdr:colOff>243840</xdr:colOff>
                <xdr:row>119</xdr:row>
                <xdr:rowOff>0</xdr:rowOff>
              </from>
              <to>
                <xdr:col>0</xdr:col>
                <xdr:colOff>449580</xdr:colOff>
                <xdr:row>120</xdr:row>
                <xdr:rowOff>0</xdr:rowOff>
              </to>
            </anchor>
          </controlPr>
        </control>
      </mc:Choice>
      <mc:Fallback>
        <control shapeId="1144" r:id="rId111" name="CheckBox119"/>
      </mc:Fallback>
    </mc:AlternateContent>
    <mc:AlternateContent xmlns:mc="http://schemas.openxmlformats.org/markup-compatibility/2006">
      <mc:Choice Requires="x14">
        <control shapeId="1145" r:id="rId112" name="CheckBox120">
          <controlPr defaultSize="0" autoLine="0" linkedCell="A121" r:id="rId5">
            <anchor moveWithCells="1">
              <from>
                <xdr:col>0</xdr:col>
                <xdr:colOff>243840</xdr:colOff>
                <xdr:row>120</xdr:row>
                <xdr:rowOff>0</xdr:rowOff>
              </from>
              <to>
                <xdr:col>0</xdr:col>
                <xdr:colOff>449580</xdr:colOff>
                <xdr:row>121</xdr:row>
                <xdr:rowOff>0</xdr:rowOff>
              </to>
            </anchor>
          </controlPr>
        </control>
      </mc:Choice>
      <mc:Fallback>
        <control shapeId="1145" r:id="rId112" name="CheckBox120"/>
      </mc:Fallback>
    </mc:AlternateContent>
    <mc:AlternateContent xmlns:mc="http://schemas.openxmlformats.org/markup-compatibility/2006">
      <mc:Choice Requires="x14">
        <control shapeId="1146" r:id="rId113" name="CheckBox121">
          <controlPr defaultSize="0" autoLine="0" linkedCell="A122" r:id="rId5">
            <anchor moveWithCells="1">
              <from>
                <xdr:col>0</xdr:col>
                <xdr:colOff>243840</xdr:colOff>
                <xdr:row>121</xdr:row>
                <xdr:rowOff>0</xdr:rowOff>
              </from>
              <to>
                <xdr:col>0</xdr:col>
                <xdr:colOff>449580</xdr:colOff>
                <xdr:row>122</xdr:row>
                <xdr:rowOff>0</xdr:rowOff>
              </to>
            </anchor>
          </controlPr>
        </control>
      </mc:Choice>
      <mc:Fallback>
        <control shapeId="1146" r:id="rId113" name="CheckBox121"/>
      </mc:Fallback>
    </mc:AlternateContent>
    <mc:AlternateContent xmlns:mc="http://schemas.openxmlformats.org/markup-compatibility/2006">
      <mc:Choice Requires="x14">
        <control shapeId="1147" r:id="rId114" name="CheckBox122">
          <controlPr defaultSize="0" autoLine="0" linkedCell="A123" r:id="rId18">
            <anchor moveWithCells="1">
              <from>
                <xdr:col>0</xdr:col>
                <xdr:colOff>243840</xdr:colOff>
                <xdr:row>122</xdr:row>
                <xdr:rowOff>0</xdr:rowOff>
              </from>
              <to>
                <xdr:col>0</xdr:col>
                <xdr:colOff>449580</xdr:colOff>
                <xdr:row>122</xdr:row>
                <xdr:rowOff>175260</xdr:rowOff>
              </to>
            </anchor>
          </controlPr>
        </control>
      </mc:Choice>
      <mc:Fallback>
        <control shapeId="1147" r:id="rId114" name="CheckBox122"/>
      </mc:Fallback>
    </mc:AlternateContent>
    <mc:AlternateContent xmlns:mc="http://schemas.openxmlformats.org/markup-compatibility/2006">
      <mc:Choice Requires="x14">
        <control shapeId="1148" r:id="rId115" name="CheckBox123">
          <controlPr defaultSize="0" autoLine="0" linkedCell="A124" r:id="rId5">
            <anchor moveWithCells="1">
              <from>
                <xdr:col>0</xdr:col>
                <xdr:colOff>243840</xdr:colOff>
                <xdr:row>123</xdr:row>
                <xdr:rowOff>0</xdr:rowOff>
              </from>
              <to>
                <xdr:col>0</xdr:col>
                <xdr:colOff>449580</xdr:colOff>
                <xdr:row>124</xdr:row>
                <xdr:rowOff>0</xdr:rowOff>
              </to>
            </anchor>
          </controlPr>
        </control>
      </mc:Choice>
      <mc:Fallback>
        <control shapeId="1148" r:id="rId115" name="CheckBox123"/>
      </mc:Fallback>
    </mc:AlternateContent>
    <mc:AlternateContent xmlns:mc="http://schemas.openxmlformats.org/markup-compatibility/2006">
      <mc:Choice Requires="x14">
        <control shapeId="1149" r:id="rId116" name="CheckBox124">
          <controlPr defaultSize="0" autoLine="0" linkedCell="A125" r:id="rId18">
            <anchor moveWithCells="1">
              <from>
                <xdr:col>0</xdr:col>
                <xdr:colOff>243840</xdr:colOff>
                <xdr:row>124</xdr:row>
                <xdr:rowOff>0</xdr:rowOff>
              </from>
              <to>
                <xdr:col>0</xdr:col>
                <xdr:colOff>449580</xdr:colOff>
                <xdr:row>124</xdr:row>
                <xdr:rowOff>175260</xdr:rowOff>
              </to>
            </anchor>
          </controlPr>
        </control>
      </mc:Choice>
      <mc:Fallback>
        <control shapeId="1149" r:id="rId116" name="CheckBox124"/>
      </mc:Fallback>
    </mc:AlternateContent>
    <mc:AlternateContent xmlns:mc="http://schemas.openxmlformats.org/markup-compatibility/2006">
      <mc:Choice Requires="x14">
        <control shapeId="1150" r:id="rId117" name="CheckBox125">
          <controlPr defaultSize="0" autoLine="0" linkedCell="A126" r:id="rId5">
            <anchor moveWithCells="1">
              <from>
                <xdr:col>0</xdr:col>
                <xdr:colOff>243840</xdr:colOff>
                <xdr:row>125</xdr:row>
                <xdr:rowOff>0</xdr:rowOff>
              </from>
              <to>
                <xdr:col>0</xdr:col>
                <xdr:colOff>449580</xdr:colOff>
                <xdr:row>126</xdr:row>
                <xdr:rowOff>0</xdr:rowOff>
              </to>
            </anchor>
          </controlPr>
        </control>
      </mc:Choice>
      <mc:Fallback>
        <control shapeId="1150" r:id="rId117" name="CheckBox125"/>
      </mc:Fallback>
    </mc:AlternateContent>
    <mc:AlternateContent xmlns:mc="http://schemas.openxmlformats.org/markup-compatibility/2006">
      <mc:Choice Requires="x14">
        <control shapeId="1151" r:id="rId118" name="CheckBox126">
          <controlPr defaultSize="0" autoLine="0" linkedCell="A127" r:id="rId5">
            <anchor moveWithCells="1">
              <from>
                <xdr:col>0</xdr:col>
                <xdr:colOff>243840</xdr:colOff>
                <xdr:row>126</xdr:row>
                <xdr:rowOff>0</xdr:rowOff>
              </from>
              <to>
                <xdr:col>0</xdr:col>
                <xdr:colOff>449580</xdr:colOff>
                <xdr:row>127</xdr:row>
                <xdr:rowOff>0</xdr:rowOff>
              </to>
            </anchor>
          </controlPr>
        </control>
      </mc:Choice>
      <mc:Fallback>
        <control shapeId="1151" r:id="rId118" name="CheckBox126"/>
      </mc:Fallback>
    </mc:AlternateContent>
    <mc:AlternateContent xmlns:mc="http://schemas.openxmlformats.org/markup-compatibility/2006">
      <mc:Choice Requires="x14">
        <control shapeId="1152" r:id="rId119" name="CheckBox127">
          <controlPr defaultSize="0" autoLine="0" linkedCell="A128" r:id="rId18">
            <anchor moveWithCells="1">
              <from>
                <xdr:col>0</xdr:col>
                <xdr:colOff>243840</xdr:colOff>
                <xdr:row>127</xdr:row>
                <xdr:rowOff>0</xdr:rowOff>
              </from>
              <to>
                <xdr:col>0</xdr:col>
                <xdr:colOff>449580</xdr:colOff>
                <xdr:row>127</xdr:row>
                <xdr:rowOff>175260</xdr:rowOff>
              </to>
            </anchor>
          </controlPr>
        </control>
      </mc:Choice>
      <mc:Fallback>
        <control shapeId="1152" r:id="rId119" name="CheckBox127"/>
      </mc:Fallback>
    </mc:AlternateContent>
    <mc:AlternateContent xmlns:mc="http://schemas.openxmlformats.org/markup-compatibility/2006">
      <mc:Choice Requires="x14">
        <control shapeId="1153" r:id="rId120" name="CheckBox128">
          <controlPr defaultSize="0" autoLine="0" linkedCell="A129" r:id="rId5">
            <anchor moveWithCells="1">
              <from>
                <xdr:col>0</xdr:col>
                <xdr:colOff>243840</xdr:colOff>
                <xdr:row>128</xdr:row>
                <xdr:rowOff>0</xdr:rowOff>
              </from>
              <to>
                <xdr:col>0</xdr:col>
                <xdr:colOff>449580</xdr:colOff>
                <xdr:row>129</xdr:row>
                <xdr:rowOff>0</xdr:rowOff>
              </to>
            </anchor>
          </controlPr>
        </control>
      </mc:Choice>
      <mc:Fallback>
        <control shapeId="1153" r:id="rId120" name="CheckBox128"/>
      </mc:Fallback>
    </mc:AlternateContent>
    <mc:AlternateContent xmlns:mc="http://schemas.openxmlformats.org/markup-compatibility/2006">
      <mc:Choice Requires="x14">
        <control shapeId="1154" r:id="rId121" name="CheckBox129">
          <controlPr defaultSize="0" autoLine="0" linkedCell="A130" r:id="rId5">
            <anchor moveWithCells="1">
              <from>
                <xdr:col>0</xdr:col>
                <xdr:colOff>243840</xdr:colOff>
                <xdr:row>129</xdr:row>
                <xdr:rowOff>0</xdr:rowOff>
              </from>
              <to>
                <xdr:col>0</xdr:col>
                <xdr:colOff>449580</xdr:colOff>
                <xdr:row>130</xdr:row>
                <xdr:rowOff>0</xdr:rowOff>
              </to>
            </anchor>
          </controlPr>
        </control>
      </mc:Choice>
      <mc:Fallback>
        <control shapeId="1154" r:id="rId121" name="CheckBox129"/>
      </mc:Fallback>
    </mc:AlternateContent>
    <mc:AlternateContent xmlns:mc="http://schemas.openxmlformats.org/markup-compatibility/2006">
      <mc:Choice Requires="x14">
        <control shapeId="1155" r:id="rId122" name="CheckBox130">
          <controlPr defaultSize="0" autoLine="0" linkedCell="A131" r:id="rId5">
            <anchor moveWithCells="1">
              <from>
                <xdr:col>0</xdr:col>
                <xdr:colOff>243840</xdr:colOff>
                <xdr:row>130</xdr:row>
                <xdr:rowOff>0</xdr:rowOff>
              </from>
              <to>
                <xdr:col>0</xdr:col>
                <xdr:colOff>449580</xdr:colOff>
                <xdr:row>131</xdr:row>
                <xdr:rowOff>0</xdr:rowOff>
              </to>
            </anchor>
          </controlPr>
        </control>
      </mc:Choice>
      <mc:Fallback>
        <control shapeId="1155" r:id="rId122" name="CheckBox130"/>
      </mc:Fallback>
    </mc:AlternateContent>
    <mc:AlternateContent xmlns:mc="http://schemas.openxmlformats.org/markup-compatibility/2006">
      <mc:Choice Requires="x14">
        <control shapeId="1156" r:id="rId123" name="CheckBox131">
          <controlPr defaultSize="0" autoLine="0" linkedCell="A132" r:id="rId5">
            <anchor moveWithCells="1">
              <from>
                <xdr:col>0</xdr:col>
                <xdr:colOff>243840</xdr:colOff>
                <xdr:row>131</xdr:row>
                <xdr:rowOff>0</xdr:rowOff>
              </from>
              <to>
                <xdr:col>0</xdr:col>
                <xdr:colOff>449580</xdr:colOff>
                <xdr:row>132</xdr:row>
                <xdr:rowOff>0</xdr:rowOff>
              </to>
            </anchor>
          </controlPr>
        </control>
      </mc:Choice>
      <mc:Fallback>
        <control shapeId="1156" r:id="rId123" name="CheckBox131"/>
      </mc:Fallback>
    </mc:AlternateContent>
    <mc:AlternateContent xmlns:mc="http://schemas.openxmlformats.org/markup-compatibility/2006">
      <mc:Choice Requires="x14">
        <control shapeId="1157" r:id="rId124" name="CheckBox132">
          <controlPr defaultSize="0" autoLine="0" linkedCell="A133" r:id="rId5">
            <anchor moveWithCells="1">
              <from>
                <xdr:col>0</xdr:col>
                <xdr:colOff>243840</xdr:colOff>
                <xdr:row>132</xdr:row>
                <xdr:rowOff>0</xdr:rowOff>
              </from>
              <to>
                <xdr:col>0</xdr:col>
                <xdr:colOff>449580</xdr:colOff>
                <xdr:row>133</xdr:row>
                <xdr:rowOff>0</xdr:rowOff>
              </to>
            </anchor>
          </controlPr>
        </control>
      </mc:Choice>
      <mc:Fallback>
        <control shapeId="1157" r:id="rId124" name="CheckBox132"/>
      </mc:Fallback>
    </mc:AlternateContent>
    <mc:AlternateContent xmlns:mc="http://schemas.openxmlformats.org/markup-compatibility/2006">
      <mc:Choice Requires="x14">
        <control shapeId="1158" r:id="rId125" name="CheckBox133">
          <controlPr defaultSize="0" autoLine="0" linkedCell="A134" r:id="rId18">
            <anchor moveWithCells="1">
              <from>
                <xdr:col>0</xdr:col>
                <xdr:colOff>243840</xdr:colOff>
                <xdr:row>133</xdr:row>
                <xdr:rowOff>0</xdr:rowOff>
              </from>
              <to>
                <xdr:col>0</xdr:col>
                <xdr:colOff>449580</xdr:colOff>
                <xdr:row>133</xdr:row>
                <xdr:rowOff>175260</xdr:rowOff>
              </to>
            </anchor>
          </controlPr>
        </control>
      </mc:Choice>
      <mc:Fallback>
        <control shapeId="1158" r:id="rId125" name="CheckBox133"/>
      </mc:Fallback>
    </mc:AlternateContent>
    <mc:AlternateContent xmlns:mc="http://schemas.openxmlformats.org/markup-compatibility/2006">
      <mc:Choice Requires="x14">
        <control shapeId="1159" r:id="rId126" name="CheckBox134">
          <controlPr defaultSize="0" autoLine="0" linkedCell="A135" r:id="rId18">
            <anchor moveWithCells="1">
              <from>
                <xdr:col>0</xdr:col>
                <xdr:colOff>243840</xdr:colOff>
                <xdr:row>134</xdr:row>
                <xdr:rowOff>0</xdr:rowOff>
              </from>
              <to>
                <xdr:col>0</xdr:col>
                <xdr:colOff>449580</xdr:colOff>
                <xdr:row>134</xdr:row>
                <xdr:rowOff>175260</xdr:rowOff>
              </to>
            </anchor>
          </controlPr>
        </control>
      </mc:Choice>
      <mc:Fallback>
        <control shapeId="1159" r:id="rId126" name="CheckBox134"/>
      </mc:Fallback>
    </mc:AlternateContent>
    <mc:AlternateContent xmlns:mc="http://schemas.openxmlformats.org/markup-compatibility/2006">
      <mc:Choice Requires="x14">
        <control shapeId="1160" r:id="rId127" name="CheckBox135">
          <controlPr defaultSize="0" autoLine="0" linkedCell="A136" r:id="rId18">
            <anchor moveWithCells="1">
              <from>
                <xdr:col>0</xdr:col>
                <xdr:colOff>243840</xdr:colOff>
                <xdr:row>135</xdr:row>
                <xdr:rowOff>0</xdr:rowOff>
              </from>
              <to>
                <xdr:col>0</xdr:col>
                <xdr:colOff>449580</xdr:colOff>
                <xdr:row>135</xdr:row>
                <xdr:rowOff>175260</xdr:rowOff>
              </to>
            </anchor>
          </controlPr>
        </control>
      </mc:Choice>
      <mc:Fallback>
        <control shapeId="1160" r:id="rId127" name="CheckBox135"/>
      </mc:Fallback>
    </mc:AlternateContent>
    <mc:AlternateContent xmlns:mc="http://schemas.openxmlformats.org/markup-compatibility/2006">
      <mc:Choice Requires="x14">
        <control shapeId="1161" r:id="rId128" name="CheckBox136">
          <controlPr defaultSize="0" autoLine="0" linkedCell="A137" r:id="rId18">
            <anchor moveWithCells="1">
              <from>
                <xdr:col>0</xdr:col>
                <xdr:colOff>243840</xdr:colOff>
                <xdr:row>136</xdr:row>
                <xdr:rowOff>0</xdr:rowOff>
              </from>
              <to>
                <xdr:col>0</xdr:col>
                <xdr:colOff>449580</xdr:colOff>
                <xdr:row>136</xdr:row>
                <xdr:rowOff>175260</xdr:rowOff>
              </to>
            </anchor>
          </controlPr>
        </control>
      </mc:Choice>
      <mc:Fallback>
        <control shapeId="1161" r:id="rId128" name="CheckBox136"/>
      </mc:Fallback>
    </mc:AlternateContent>
    <mc:AlternateContent xmlns:mc="http://schemas.openxmlformats.org/markup-compatibility/2006">
      <mc:Choice Requires="x14">
        <control shapeId="1162" r:id="rId129" name="CheckBox137">
          <controlPr defaultSize="0" autoLine="0" linkedCell="A138" r:id="rId18">
            <anchor moveWithCells="1">
              <from>
                <xdr:col>0</xdr:col>
                <xdr:colOff>243840</xdr:colOff>
                <xdr:row>137</xdr:row>
                <xdr:rowOff>0</xdr:rowOff>
              </from>
              <to>
                <xdr:col>0</xdr:col>
                <xdr:colOff>449580</xdr:colOff>
                <xdr:row>137</xdr:row>
                <xdr:rowOff>175260</xdr:rowOff>
              </to>
            </anchor>
          </controlPr>
        </control>
      </mc:Choice>
      <mc:Fallback>
        <control shapeId="1162" r:id="rId129" name="CheckBox137"/>
      </mc:Fallback>
    </mc:AlternateContent>
    <mc:AlternateContent xmlns:mc="http://schemas.openxmlformats.org/markup-compatibility/2006">
      <mc:Choice Requires="x14">
        <control shapeId="1163" r:id="rId130" name="CheckBox138">
          <controlPr defaultSize="0" autoLine="0" linkedCell="A139" r:id="rId18">
            <anchor moveWithCells="1">
              <from>
                <xdr:col>0</xdr:col>
                <xdr:colOff>243840</xdr:colOff>
                <xdr:row>138</xdr:row>
                <xdr:rowOff>0</xdr:rowOff>
              </from>
              <to>
                <xdr:col>0</xdr:col>
                <xdr:colOff>449580</xdr:colOff>
                <xdr:row>138</xdr:row>
                <xdr:rowOff>175260</xdr:rowOff>
              </to>
            </anchor>
          </controlPr>
        </control>
      </mc:Choice>
      <mc:Fallback>
        <control shapeId="1163" r:id="rId130" name="CheckBox138"/>
      </mc:Fallback>
    </mc:AlternateContent>
    <mc:AlternateContent xmlns:mc="http://schemas.openxmlformats.org/markup-compatibility/2006">
      <mc:Choice Requires="x14">
        <control shapeId="1164" r:id="rId131" name="CheckBox139">
          <controlPr defaultSize="0" autoLine="0" linkedCell="A140" r:id="rId18">
            <anchor moveWithCells="1">
              <from>
                <xdr:col>0</xdr:col>
                <xdr:colOff>243840</xdr:colOff>
                <xdr:row>139</xdr:row>
                <xdr:rowOff>0</xdr:rowOff>
              </from>
              <to>
                <xdr:col>0</xdr:col>
                <xdr:colOff>449580</xdr:colOff>
                <xdr:row>139</xdr:row>
                <xdr:rowOff>175260</xdr:rowOff>
              </to>
            </anchor>
          </controlPr>
        </control>
      </mc:Choice>
      <mc:Fallback>
        <control shapeId="1164" r:id="rId131" name="CheckBox139"/>
      </mc:Fallback>
    </mc:AlternateContent>
    <mc:AlternateContent xmlns:mc="http://schemas.openxmlformats.org/markup-compatibility/2006">
      <mc:Choice Requires="x14">
        <control shapeId="1165" r:id="rId132" name="CheckBox140">
          <controlPr defaultSize="0" autoLine="0" linkedCell="A141" r:id="rId5">
            <anchor moveWithCells="1">
              <from>
                <xdr:col>0</xdr:col>
                <xdr:colOff>243840</xdr:colOff>
                <xdr:row>140</xdr:row>
                <xdr:rowOff>0</xdr:rowOff>
              </from>
              <to>
                <xdr:col>0</xdr:col>
                <xdr:colOff>449580</xdr:colOff>
                <xdr:row>141</xdr:row>
                <xdr:rowOff>0</xdr:rowOff>
              </to>
            </anchor>
          </controlPr>
        </control>
      </mc:Choice>
      <mc:Fallback>
        <control shapeId="1165" r:id="rId132" name="CheckBox140"/>
      </mc:Fallback>
    </mc:AlternateContent>
    <mc:AlternateContent xmlns:mc="http://schemas.openxmlformats.org/markup-compatibility/2006">
      <mc:Choice Requires="x14">
        <control shapeId="1166" r:id="rId133" name="CheckBox141">
          <controlPr defaultSize="0" autoLine="0" linkedCell="A142" r:id="rId5">
            <anchor moveWithCells="1">
              <from>
                <xdr:col>0</xdr:col>
                <xdr:colOff>243840</xdr:colOff>
                <xdr:row>141</xdr:row>
                <xdr:rowOff>0</xdr:rowOff>
              </from>
              <to>
                <xdr:col>0</xdr:col>
                <xdr:colOff>449580</xdr:colOff>
                <xdr:row>142</xdr:row>
                <xdr:rowOff>0</xdr:rowOff>
              </to>
            </anchor>
          </controlPr>
        </control>
      </mc:Choice>
      <mc:Fallback>
        <control shapeId="1166" r:id="rId133" name="CheckBox141"/>
      </mc:Fallback>
    </mc:AlternateContent>
    <mc:AlternateContent xmlns:mc="http://schemas.openxmlformats.org/markup-compatibility/2006">
      <mc:Choice Requires="x14">
        <control shapeId="1168" r:id="rId134" name="CheckBox143">
          <controlPr defaultSize="0" autoLine="0" linkedCell="A144" r:id="rId5">
            <anchor moveWithCells="1">
              <from>
                <xdr:col>0</xdr:col>
                <xdr:colOff>243840</xdr:colOff>
                <xdr:row>143</xdr:row>
                <xdr:rowOff>0</xdr:rowOff>
              </from>
              <to>
                <xdr:col>0</xdr:col>
                <xdr:colOff>449580</xdr:colOff>
                <xdr:row>144</xdr:row>
                <xdr:rowOff>0</xdr:rowOff>
              </to>
            </anchor>
          </controlPr>
        </control>
      </mc:Choice>
      <mc:Fallback>
        <control shapeId="1168" r:id="rId134" name="CheckBox143"/>
      </mc:Fallback>
    </mc:AlternateContent>
    <mc:AlternateContent xmlns:mc="http://schemas.openxmlformats.org/markup-compatibility/2006">
      <mc:Choice Requires="x14">
        <control shapeId="1169" r:id="rId135" name="CheckBox144">
          <controlPr defaultSize="0" autoLine="0" linkedCell="A145" r:id="rId5">
            <anchor moveWithCells="1">
              <from>
                <xdr:col>0</xdr:col>
                <xdr:colOff>243840</xdr:colOff>
                <xdr:row>144</xdr:row>
                <xdr:rowOff>0</xdr:rowOff>
              </from>
              <to>
                <xdr:col>0</xdr:col>
                <xdr:colOff>449580</xdr:colOff>
                <xdr:row>145</xdr:row>
                <xdr:rowOff>0</xdr:rowOff>
              </to>
            </anchor>
          </controlPr>
        </control>
      </mc:Choice>
      <mc:Fallback>
        <control shapeId="1169" r:id="rId135" name="CheckBox144"/>
      </mc:Fallback>
    </mc:AlternateContent>
    <mc:AlternateContent xmlns:mc="http://schemas.openxmlformats.org/markup-compatibility/2006">
      <mc:Choice Requires="x14">
        <control shapeId="1170" r:id="rId136" name="CheckBox145">
          <controlPr defaultSize="0" autoLine="0" linkedCell="A146" r:id="rId18">
            <anchor moveWithCells="1">
              <from>
                <xdr:col>0</xdr:col>
                <xdr:colOff>243840</xdr:colOff>
                <xdr:row>145</xdr:row>
                <xdr:rowOff>0</xdr:rowOff>
              </from>
              <to>
                <xdr:col>0</xdr:col>
                <xdr:colOff>449580</xdr:colOff>
                <xdr:row>145</xdr:row>
                <xdr:rowOff>175260</xdr:rowOff>
              </to>
            </anchor>
          </controlPr>
        </control>
      </mc:Choice>
      <mc:Fallback>
        <control shapeId="1170" r:id="rId136" name="CheckBox145"/>
      </mc:Fallback>
    </mc:AlternateContent>
    <mc:AlternateContent xmlns:mc="http://schemas.openxmlformats.org/markup-compatibility/2006">
      <mc:Choice Requires="x14">
        <control shapeId="1171" r:id="rId137" name="CheckBox146">
          <controlPr defaultSize="0" autoLine="0" linkedCell="A147" r:id="rId18">
            <anchor moveWithCells="1">
              <from>
                <xdr:col>0</xdr:col>
                <xdr:colOff>243840</xdr:colOff>
                <xdr:row>146</xdr:row>
                <xdr:rowOff>0</xdr:rowOff>
              </from>
              <to>
                <xdr:col>0</xdr:col>
                <xdr:colOff>449580</xdr:colOff>
                <xdr:row>146</xdr:row>
                <xdr:rowOff>175260</xdr:rowOff>
              </to>
            </anchor>
          </controlPr>
        </control>
      </mc:Choice>
      <mc:Fallback>
        <control shapeId="1171" r:id="rId137" name="CheckBox146"/>
      </mc:Fallback>
    </mc:AlternateContent>
    <mc:AlternateContent xmlns:mc="http://schemas.openxmlformats.org/markup-compatibility/2006">
      <mc:Choice Requires="x14">
        <control shapeId="1172" r:id="rId138" name="CheckBox147">
          <controlPr defaultSize="0" autoLine="0" linkedCell="A148" r:id="rId18">
            <anchor moveWithCells="1">
              <from>
                <xdr:col>0</xdr:col>
                <xdr:colOff>243840</xdr:colOff>
                <xdr:row>147</xdr:row>
                <xdr:rowOff>0</xdr:rowOff>
              </from>
              <to>
                <xdr:col>0</xdr:col>
                <xdr:colOff>449580</xdr:colOff>
                <xdr:row>147</xdr:row>
                <xdr:rowOff>175260</xdr:rowOff>
              </to>
            </anchor>
          </controlPr>
        </control>
      </mc:Choice>
      <mc:Fallback>
        <control shapeId="1172" r:id="rId138" name="CheckBox147"/>
      </mc:Fallback>
    </mc:AlternateContent>
    <mc:AlternateContent xmlns:mc="http://schemas.openxmlformats.org/markup-compatibility/2006">
      <mc:Choice Requires="x14">
        <control shapeId="1173" r:id="rId139" name="CheckBox148">
          <controlPr defaultSize="0" autoLine="0" linkedCell="A149" r:id="rId18">
            <anchor moveWithCells="1">
              <from>
                <xdr:col>0</xdr:col>
                <xdr:colOff>243840</xdr:colOff>
                <xdr:row>148</xdr:row>
                <xdr:rowOff>0</xdr:rowOff>
              </from>
              <to>
                <xdr:col>0</xdr:col>
                <xdr:colOff>449580</xdr:colOff>
                <xdr:row>148</xdr:row>
                <xdr:rowOff>175260</xdr:rowOff>
              </to>
            </anchor>
          </controlPr>
        </control>
      </mc:Choice>
      <mc:Fallback>
        <control shapeId="1173" r:id="rId139" name="CheckBox148"/>
      </mc:Fallback>
    </mc:AlternateContent>
    <mc:AlternateContent xmlns:mc="http://schemas.openxmlformats.org/markup-compatibility/2006">
      <mc:Choice Requires="x14">
        <control shapeId="1174" r:id="rId140" name="CheckBox149">
          <controlPr defaultSize="0" autoLine="0" linkedCell="A150" r:id="rId18">
            <anchor moveWithCells="1">
              <from>
                <xdr:col>0</xdr:col>
                <xdr:colOff>243840</xdr:colOff>
                <xdr:row>149</xdr:row>
                <xdr:rowOff>0</xdr:rowOff>
              </from>
              <to>
                <xdr:col>0</xdr:col>
                <xdr:colOff>449580</xdr:colOff>
                <xdr:row>149</xdr:row>
                <xdr:rowOff>175260</xdr:rowOff>
              </to>
            </anchor>
          </controlPr>
        </control>
      </mc:Choice>
      <mc:Fallback>
        <control shapeId="1174" r:id="rId140" name="CheckBox149"/>
      </mc:Fallback>
    </mc:AlternateContent>
    <mc:AlternateContent xmlns:mc="http://schemas.openxmlformats.org/markup-compatibility/2006">
      <mc:Choice Requires="x14">
        <control shapeId="1175" r:id="rId141" name="CheckBox150">
          <controlPr defaultSize="0" autoLine="0" linkedCell="A151" r:id="rId18">
            <anchor moveWithCells="1">
              <from>
                <xdr:col>0</xdr:col>
                <xdr:colOff>243840</xdr:colOff>
                <xdr:row>150</xdr:row>
                <xdr:rowOff>0</xdr:rowOff>
              </from>
              <to>
                <xdr:col>0</xdr:col>
                <xdr:colOff>449580</xdr:colOff>
                <xdr:row>150</xdr:row>
                <xdr:rowOff>175260</xdr:rowOff>
              </to>
            </anchor>
          </controlPr>
        </control>
      </mc:Choice>
      <mc:Fallback>
        <control shapeId="1175" r:id="rId141" name="CheckBox150"/>
      </mc:Fallback>
    </mc:AlternateContent>
    <mc:AlternateContent xmlns:mc="http://schemas.openxmlformats.org/markup-compatibility/2006">
      <mc:Choice Requires="x14">
        <control shapeId="1176" r:id="rId142" name="CheckBox151">
          <controlPr defaultSize="0" autoLine="0" linkedCell="A152" r:id="rId18">
            <anchor moveWithCells="1">
              <from>
                <xdr:col>0</xdr:col>
                <xdr:colOff>243840</xdr:colOff>
                <xdr:row>151</xdr:row>
                <xdr:rowOff>0</xdr:rowOff>
              </from>
              <to>
                <xdr:col>0</xdr:col>
                <xdr:colOff>449580</xdr:colOff>
                <xdr:row>151</xdr:row>
                <xdr:rowOff>175260</xdr:rowOff>
              </to>
            </anchor>
          </controlPr>
        </control>
      </mc:Choice>
      <mc:Fallback>
        <control shapeId="1176" r:id="rId142" name="CheckBox151"/>
      </mc:Fallback>
    </mc:AlternateContent>
    <mc:AlternateContent xmlns:mc="http://schemas.openxmlformats.org/markup-compatibility/2006">
      <mc:Choice Requires="x14">
        <control shapeId="1177" r:id="rId143" name="CheckBox152">
          <controlPr defaultSize="0" autoLine="0" linkedCell="A153" r:id="rId18">
            <anchor moveWithCells="1">
              <from>
                <xdr:col>0</xdr:col>
                <xdr:colOff>243840</xdr:colOff>
                <xdr:row>152</xdr:row>
                <xdr:rowOff>0</xdr:rowOff>
              </from>
              <to>
                <xdr:col>0</xdr:col>
                <xdr:colOff>449580</xdr:colOff>
                <xdr:row>152</xdr:row>
                <xdr:rowOff>175260</xdr:rowOff>
              </to>
            </anchor>
          </controlPr>
        </control>
      </mc:Choice>
      <mc:Fallback>
        <control shapeId="1177" r:id="rId143" name="CheckBox152"/>
      </mc:Fallback>
    </mc:AlternateContent>
    <mc:AlternateContent xmlns:mc="http://schemas.openxmlformats.org/markup-compatibility/2006">
      <mc:Choice Requires="x14">
        <control shapeId="1178" r:id="rId144" name="CheckBox153">
          <controlPr defaultSize="0" autoLine="0" linkedCell="A154" r:id="rId18">
            <anchor moveWithCells="1">
              <from>
                <xdr:col>0</xdr:col>
                <xdr:colOff>243840</xdr:colOff>
                <xdr:row>153</xdr:row>
                <xdr:rowOff>0</xdr:rowOff>
              </from>
              <to>
                <xdr:col>0</xdr:col>
                <xdr:colOff>449580</xdr:colOff>
                <xdr:row>153</xdr:row>
                <xdr:rowOff>175260</xdr:rowOff>
              </to>
            </anchor>
          </controlPr>
        </control>
      </mc:Choice>
      <mc:Fallback>
        <control shapeId="1178" r:id="rId144" name="CheckBox153"/>
      </mc:Fallback>
    </mc:AlternateContent>
    <mc:AlternateContent xmlns:mc="http://schemas.openxmlformats.org/markup-compatibility/2006">
      <mc:Choice Requires="x14">
        <control shapeId="1179" r:id="rId145" name="CheckBox154">
          <controlPr defaultSize="0" autoLine="0" linkedCell="A155" r:id="rId18">
            <anchor moveWithCells="1">
              <from>
                <xdr:col>0</xdr:col>
                <xdr:colOff>243840</xdr:colOff>
                <xdr:row>154</xdr:row>
                <xdr:rowOff>0</xdr:rowOff>
              </from>
              <to>
                <xdr:col>0</xdr:col>
                <xdr:colOff>449580</xdr:colOff>
                <xdr:row>154</xdr:row>
                <xdr:rowOff>175260</xdr:rowOff>
              </to>
            </anchor>
          </controlPr>
        </control>
      </mc:Choice>
      <mc:Fallback>
        <control shapeId="1179" r:id="rId145" name="CheckBox154"/>
      </mc:Fallback>
    </mc:AlternateContent>
    <mc:AlternateContent xmlns:mc="http://schemas.openxmlformats.org/markup-compatibility/2006">
      <mc:Choice Requires="x14">
        <control shapeId="1180" r:id="rId146" name="CheckBox77">
          <controlPr defaultSize="0" autoLine="0" linkedCell="A78" r:id="rId5">
            <anchor moveWithCells="1">
              <from>
                <xdr:col>0</xdr:col>
                <xdr:colOff>243840</xdr:colOff>
                <xdr:row>77</xdr:row>
                <xdr:rowOff>0</xdr:rowOff>
              </from>
              <to>
                <xdr:col>0</xdr:col>
                <xdr:colOff>449580</xdr:colOff>
                <xdr:row>78</xdr:row>
                <xdr:rowOff>0</xdr:rowOff>
              </to>
            </anchor>
          </controlPr>
        </control>
      </mc:Choice>
      <mc:Fallback>
        <control shapeId="1180" r:id="rId146" name="CheckBox77"/>
      </mc:Fallback>
    </mc:AlternateContent>
    <mc:AlternateContent xmlns:mc="http://schemas.openxmlformats.org/markup-compatibility/2006">
      <mc:Choice Requires="x14">
        <control shapeId="1181" r:id="rId147" name="CheckBox142">
          <controlPr defaultSize="0" autoLine="0" linkedCell="A143" r:id="rId5">
            <anchor moveWithCells="1">
              <from>
                <xdr:col>0</xdr:col>
                <xdr:colOff>243840</xdr:colOff>
                <xdr:row>142</xdr:row>
                <xdr:rowOff>0</xdr:rowOff>
              </from>
              <to>
                <xdr:col>0</xdr:col>
                <xdr:colOff>449580</xdr:colOff>
                <xdr:row>143</xdr:row>
                <xdr:rowOff>0</xdr:rowOff>
              </to>
            </anchor>
          </controlPr>
        </control>
      </mc:Choice>
      <mc:Fallback>
        <control shapeId="1181" r:id="rId147" name="CheckBox142"/>
      </mc:Fallback>
    </mc:AlternateContent>
    <mc:AlternateContent xmlns:mc="http://schemas.openxmlformats.org/markup-compatibility/2006">
      <mc:Choice Requires="x14">
        <control shapeId="1182" r:id="rId148" name="CheckBox155">
          <controlPr defaultSize="0" autoLine="0" linkedCell="A156" r:id="rId18">
            <anchor moveWithCells="1">
              <from>
                <xdr:col>0</xdr:col>
                <xdr:colOff>243840</xdr:colOff>
                <xdr:row>155</xdr:row>
                <xdr:rowOff>0</xdr:rowOff>
              </from>
              <to>
                <xdr:col>0</xdr:col>
                <xdr:colOff>449580</xdr:colOff>
                <xdr:row>155</xdr:row>
                <xdr:rowOff>175260</xdr:rowOff>
              </to>
            </anchor>
          </controlPr>
        </control>
      </mc:Choice>
      <mc:Fallback>
        <control shapeId="1182" r:id="rId148" name="CheckBox155"/>
      </mc:Fallback>
    </mc:AlternateContent>
    <mc:AlternateContent xmlns:mc="http://schemas.openxmlformats.org/markup-compatibility/2006">
      <mc:Choice Requires="x14">
        <control shapeId="1183" r:id="rId149" name="CheckBox156">
          <controlPr defaultSize="0" autoLine="0" linkedCell="A157" r:id="rId18">
            <anchor moveWithCells="1">
              <from>
                <xdr:col>0</xdr:col>
                <xdr:colOff>243840</xdr:colOff>
                <xdr:row>156</xdr:row>
                <xdr:rowOff>0</xdr:rowOff>
              </from>
              <to>
                <xdr:col>0</xdr:col>
                <xdr:colOff>449580</xdr:colOff>
                <xdr:row>156</xdr:row>
                <xdr:rowOff>175260</xdr:rowOff>
              </to>
            </anchor>
          </controlPr>
        </control>
      </mc:Choice>
      <mc:Fallback>
        <control shapeId="1183" r:id="rId149" name="CheckBox156"/>
      </mc:Fallback>
    </mc:AlternateContent>
    <mc:AlternateContent xmlns:mc="http://schemas.openxmlformats.org/markup-compatibility/2006">
      <mc:Choice Requires="x14">
        <control shapeId="1184" r:id="rId150" name="CheckBox157">
          <controlPr defaultSize="0" autoLine="0" linkedCell="A158" r:id="rId5">
            <anchor moveWithCells="1">
              <from>
                <xdr:col>0</xdr:col>
                <xdr:colOff>243840</xdr:colOff>
                <xdr:row>157</xdr:row>
                <xdr:rowOff>0</xdr:rowOff>
              </from>
              <to>
                <xdr:col>0</xdr:col>
                <xdr:colOff>449580</xdr:colOff>
                <xdr:row>158</xdr:row>
                <xdr:rowOff>0</xdr:rowOff>
              </to>
            </anchor>
          </controlPr>
        </control>
      </mc:Choice>
      <mc:Fallback>
        <control shapeId="1184" r:id="rId150" name="CheckBox157"/>
      </mc:Fallback>
    </mc:AlternateContent>
    <mc:AlternateContent xmlns:mc="http://schemas.openxmlformats.org/markup-compatibility/2006">
      <mc:Choice Requires="x14">
        <control shapeId="1185" r:id="rId151" name="CheckBox158">
          <controlPr defaultSize="0" autoLine="0" linkedCell="A159" r:id="rId18">
            <anchor moveWithCells="1">
              <from>
                <xdr:col>0</xdr:col>
                <xdr:colOff>243840</xdr:colOff>
                <xdr:row>158</xdr:row>
                <xdr:rowOff>0</xdr:rowOff>
              </from>
              <to>
                <xdr:col>0</xdr:col>
                <xdr:colOff>449580</xdr:colOff>
                <xdr:row>158</xdr:row>
                <xdr:rowOff>175260</xdr:rowOff>
              </to>
            </anchor>
          </controlPr>
        </control>
      </mc:Choice>
      <mc:Fallback>
        <control shapeId="1185" r:id="rId151" name="CheckBox158"/>
      </mc:Fallback>
    </mc:AlternateContent>
    <mc:AlternateContent xmlns:mc="http://schemas.openxmlformats.org/markup-compatibility/2006">
      <mc:Choice Requires="x14">
        <control shapeId="1186" r:id="rId152" name="CheckBox159">
          <controlPr defaultSize="0" autoLine="0" linkedCell="A160" r:id="rId18">
            <anchor moveWithCells="1">
              <from>
                <xdr:col>0</xdr:col>
                <xdr:colOff>243840</xdr:colOff>
                <xdr:row>159</xdr:row>
                <xdr:rowOff>0</xdr:rowOff>
              </from>
              <to>
                <xdr:col>0</xdr:col>
                <xdr:colOff>449580</xdr:colOff>
                <xdr:row>159</xdr:row>
                <xdr:rowOff>175260</xdr:rowOff>
              </to>
            </anchor>
          </controlPr>
        </control>
      </mc:Choice>
      <mc:Fallback>
        <control shapeId="1186" r:id="rId152" name="CheckBox159"/>
      </mc:Fallback>
    </mc:AlternateContent>
    <mc:AlternateContent xmlns:mc="http://schemas.openxmlformats.org/markup-compatibility/2006">
      <mc:Choice Requires="x14">
        <control shapeId="1187" r:id="rId153" name="CheckBox160">
          <controlPr defaultSize="0" autoLine="0" linkedCell="A161" r:id="rId18">
            <anchor moveWithCells="1">
              <from>
                <xdr:col>0</xdr:col>
                <xdr:colOff>243840</xdr:colOff>
                <xdr:row>160</xdr:row>
                <xdr:rowOff>0</xdr:rowOff>
              </from>
              <to>
                <xdr:col>0</xdr:col>
                <xdr:colOff>449580</xdr:colOff>
                <xdr:row>160</xdr:row>
                <xdr:rowOff>175260</xdr:rowOff>
              </to>
            </anchor>
          </controlPr>
        </control>
      </mc:Choice>
      <mc:Fallback>
        <control shapeId="1187" r:id="rId153" name="CheckBox160"/>
      </mc:Fallback>
    </mc:AlternateContent>
    <mc:AlternateContent xmlns:mc="http://schemas.openxmlformats.org/markup-compatibility/2006">
      <mc:Choice Requires="x14">
        <control shapeId="1188" r:id="rId154" name="CheckBox161">
          <controlPr defaultSize="0" autoLine="0" linkedCell="A162" r:id="rId18">
            <anchor moveWithCells="1">
              <from>
                <xdr:col>0</xdr:col>
                <xdr:colOff>243840</xdr:colOff>
                <xdr:row>161</xdr:row>
                <xdr:rowOff>0</xdr:rowOff>
              </from>
              <to>
                <xdr:col>0</xdr:col>
                <xdr:colOff>449580</xdr:colOff>
                <xdr:row>161</xdr:row>
                <xdr:rowOff>175260</xdr:rowOff>
              </to>
            </anchor>
          </controlPr>
        </control>
      </mc:Choice>
      <mc:Fallback>
        <control shapeId="1188" r:id="rId154" name="CheckBox161"/>
      </mc:Fallback>
    </mc:AlternateContent>
    <mc:AlternateContent xmlns:mc="http://schemas.openxmlformats.org/markup-compatibility/2006">
      <mc:Choice Requires="x14">
        <control shapeId="1189" r:id="rId155" name="CheckBox162">
          <controlPr defaultSize="0" autoLine="0" linkedCell="A163" r:id="rId18">
            <anchor moveWithCells="1">
              <from>
                <xdr:col>0</xdr:col>
                <xdr:colOff>243840</xdr:colOff>
                <xdr:row>162</xdr:row>
                <xdr:rowOff>0</xdr:rowOff>
              </from>
              <to>
                <xdr:col>0</xdr:col>
                <xdr:colOff>449580</xdr:colOff>
                <xdr:row>162</xdr:row>
                <xdr:rowOff>175260</xdr:rowOff>
              </to>
            </anchor>
          </controlPr>
        </control>
      </mc:Choice>
      <mc:Fallback>
        <control shapeId="1189" r:id="rId155" name="CheckBox162"/>
      </mc:Fallback>
    </mc:AlternateContent>
    <mc:AlternateContent xmlns:mc="http://schemas.openxmlformats.org/markup-compatibility/2006">
      <mc:Choice Requires="x14">
        <control shapeId="1190" r:id="rId156" name="CheckBox163">
          <controlPr defaultSize="0" autoLine="0" linkedCell="A164" r:id="rId18">
            <anchor moveWithCells="1">
              <from>
                <xdr:col>0</xdr:col>
                <xdr:colOff>243840</xdr:colOff>
                <xdr:row>163</xdr:row>
                <xdr:rowOff>0</xdr:rowOff>
              </from>
              <to>
                <xdr:col>0</xdr:col>
                <xdr:colOff>449580</xdr:colOff>
                <xdr:row>163</xdr:row>
                <xdr:rowOff>175260</xdr:rowOff>
              </to>
            </anchor>
          </controlPr>
        </control>
      </mc:Choice>
      <mc:Fallback>
        <control shapeId="1190" r:id="rId156" name="CheckBox163"/>
      </mc:Fallback>
    </mc:AlternateContent>
    <mc:AlternateContent xmlns:mc="http://schemas.openxmlformats.org/markup-compatibility/2006">
      <mc:Choice Requires="x14">
        <control shapeId="1191" r:id="rId157" name="CheckBox164">
          <controlPr defaultSize="0" autoLine="0" linkedCell="A165" r:id="rId18">
            <anchor moveWithCells="1">
              <from>
                <xdr:col>0</xdr:col>
                <xdr:colOff>243840</xdr:colOff>
                <xdr:row>164</xdr:row>
                <xdr:rowOff>0</xdr:rowOff>
              </from>
              <to>
                <xdr:col>0</xdr:col>
                <xdr:colOff>449580</xdr:colOff>
                <xdr:row>164</xdr:row>
                <xdr:rowOff>175260</xdr:rowOff>
              </to>
            </anchor>
          </controlPr>
        </control>
      </mc:Choice>
      <mc:Fallback>
        <control shapeId="1191" r:id="rId157" name="CheckBox164"/>
      </mc:Fallback>
    </mc:AlternateContent>
    <mc:AlternateContent xmlns:mc="http://schemas.openxmlformats.org/markup-compatibility/2006">
      <mc:Choice Requires="x14">
        <control shapeId="1192" r:id="rId158" name="CheckBox165">
          <controlPr defaultSize="0" autoLine="0" linkedCell="A166" r:id="rId18">
            <anchor moveWithCells="1">
              <from>
                <xdr:col>0</xdr:col>
                <xdr:colOff>243840</xdr:colOff>
                <xdr:row>165</xdr:row>
                <xdr:rowOff>0</xdr:rowOff>
              </from>
              <to>
                <xdr:col>0</xdr:col>
                <xdr:colOff>449580</xdr:colOff>
                <xdr:row>165</xdr:row>
                <xdr:rowOff>175260</xdr:rowOff>
              </to>
            </anchor>
          </controlPr>
        </control>
      </mc:Choice>
      <mc:Fallback>
        <control shapeId="1192" r:id="rId158" name="CheckBox165"/>
      </mc:Fallback>
    </mc:AlternateContent>
    <mc:AlternateContent xmlns:mc="http://schemas.openxmlformats.org/markup-compatibility/2006">
      <mc:Choice Requires="x14">
        <control shapeId="1193" r:id="rId159" name="CheckBox168">
          <controlPr defaultSize="0" autoLine="0" linkedCell="A169" r:id="rId5">
            <anchor moveWithCells="1">
              <from>
                <xdr:col>0</xdr:col>
                <xdr:colOff>243840</xdr:colOff>
                <xdr:row>168</xdr:row>
                <xdr:rowOff>0</xdr:rowOff>
              </from>
              <to>
                <xdr:col>0</xdr:col>
                <xdr:colOff>449580</xdr:colOff>
                <xdr:row>169</xdr:row>
                <xdr:rowOff>0</xdr:rowOff>
              </to>
            </anchor>
          </controlPr>
        </control>
      </mc:Choice>
      <mc:Fallback>
        <control shapeId="1193" r:id="rId159" name="CheckBox168"/>
      </mc:Fallback>
    </mc:AlternateContent>
    <mc:AlternateContent xmlns:mc="http://schemas.openxmlformats.org/markup-compatibility/2006">
      <mc:Choice Requires="x14">
        <control shapeId="1194" r:id="rId160" name="CheckBox169">
          <controlPr defaultSize="0" autoLine="0" linkedCell="A170" r:id="rId18">
            <anchor moveWithCells="1">
              <from>
                <xdr:col>0</xdr:col>
                <xdr:colOff>243840</xdr:colOff>
                <xdr:row>169</xdr:row>
                <xdr:rowOff>0</xdr:rowOff>
              </from>
              <to>
                <xdr:col>0</xdr:col>
                <xdr:colOff>449580</xdr:colOff>
                <xdr:row>169</xdr:row>
                <xdr:rowOff>175260</xdr:rowOff>
              </to>
            </anchor>
          </controlPr>
        </control>
      </mc:Choice>
      <mc:Fallback>
        <control shapeId="1194" r:id="rId160" name="CheckBox169"/>
      </mc:Fallback>
    </mc:AlternateContent>
    <mc:AlternateContent xmlns:mc="http://schemas.openxmlformats.org/markup-compatibility/2006">
      <mc:Choice Requires="x14">
        <control shapeId="1195" r:id="rId161" name="CheckBox170">
          <controlPr defaultSize="0" autoLine="0" linkedCell="A171" r:id="rId5">
            <anchor moveWithCells="1">
              <from>
                <xdr:col>0</xdr:col>
                <xdr:colOff>243840</xdr:colOff>
                <xdr:row>170</xdr:row>
                <xdr:rowOff>0</xdr:rowOff>
              </from>
              <to>
                <xdr:col>0</xdr:col>
                <xdr:colOff>449580</xdr:colOff>
                <xdr:row>171</xdr:row>
                <xdr:rowOff>0</xdr:rowOff>
              </to>
            </anchor>
          </controlPr>
        </control>
      </mc:Choice>
      <mc:Fallback>
        <control shapeId="1195" r:id="rId161" name="CheckBox170"/>
      </mc:Fallback>
    </mc:AlternateContent>
    <mc:AlternateContent xmlns:mc="http://schemas.openxmlformats.org/markup-compatibility/2006">
      <mc:Choice Requires="x14">
        <control shapeId="1196" r:id="rId162" name="CheckBox171">
          <controlPr defaultSize="0" autoLine="0" linkedCell="A172" r:id="rId18">
            <anchor moveWithCells="1">
              <from>
                <xdr:col>0</xdr:col>
                <xdr:colOff>243840</xdr:colOff>
                <xdr:row>171</xdr:row>
                <xdr:rowOff>0</xdr:rowOff>
              </from>
              <to>
                <xdr:col>0</xdr:col>
                <xdr:colOff>449580</xdr:colOff>
                <xdr:row>171</xdr:row>
                <xdr:rowOff>175260</xdr:rowOff>
              </to>
            </anchor>
          </controlPr>
        </control>
      </mc:Choice>
      <mc:Fallback>
        <control shapeId="1196" r:id="rId162" name="CheckBox171"/>
      </mc:Fallback>
    </mc:AlternateContent>
    <mc:AlternateContent xmlns:mc="http://schemas.openxmlformats.org/markup-compatibility/2006">
      <mc:Choice Requires="x14">
        <control shapeId="1197" r:id="rId163" name="CheckBox172">
          <controlPr defaultSize="0" autoLine="0" linkedCell="A173" r:id="rId18">
            <anchor moveWithCells="1">
              <from>
                <xdr:col>0</xdr:col>
                <xdr:colOff>243840</xdr:colOff>
                <xdr:row>172</xdr:row>
                <xdr:rowOff>0</xdr:rowOff>
              </from>
              <to>
                <xdr:col>0</xdr:col>
                <xdr:colOff>449580</xdr:colOff>
                <xdr:row>172</xdr:row>
                <xdr:rowOff>175260</xdr:rowOff>
              </to>
            </anchor>
          </controlPr>
        </control>
      </mc:Choice>
      <mc:Fallback>
        <control shapeId="1197" r:id="rId163" name="CheckBox172"/>
      </mc:Fallback>
    </mc:AlternateContent>
    <mc:AlternateContent xmlns:mc="http://schemas.openxmlformats.org/markup-compatibility/2006">
      <mc:Choice Requires="x14">
        <control shapeId="1198" r:id="rId164" name="CheckBox173">
          <controlPr defaultSize="0" autoLine="0" linkedCell="A174" r:id="rId18">
            <anchor moveWithCells="1">
              <from>
                <xdr:col>0</xdr:col>
                <xdr:colOff>243840</xdr:colOff>
                <xdr:row>173</xdr:row>
                <xdr:rowOff>0</xdr:rowOff>
              </from>
              <to>
                <xdr:col>0</xdr:col>
                <xdr:colOff>449580</xdr:colOff>
                <xdr:row>173</xdr:row>
                <xdr:rowOff>175260</xdr:rowOff>
              </to>
            </anchor>
          </controlPr>
        </control>
      </mc:Choice>
      <mc:Fallback>
        <control shapeId="1198" r:id="rId164" name="CheckBox173"/>
      </mc:Fallback>
    </mc:AlternateContent>
    <mc:AlternateContent xmlns:mc="http://schemas.openxmlformats.org/markup-compatibility/2006">
      <mc:Choice Requires="x14">
        <control shapeId="1199" r:id="rId165" name="CheckBox174">
          <controlPr defaultSize="0" autoLine="0" linkedCell="A175" r:id="rId18">
            <anchor moveWithCells="1">
              <from>
                <xdr:col>0</xdr:col>
                <xdr:colOff>243840</xdr:colOff>
                <xdr:row>174</xdr:row>
                <xdr:rowOff>0</xdr:rowOff>
              </from>
              <to>
                <xdr:col>0</xdr:col>
                <xdr:colOff>449580</xdr:colOff>
                <xdr:row>174</xdr:row>
                <xdr:rowOff>175260</xdr:rowOff>
              </to>
            </anchor>
          </controlPr>
        </control>
      </mc:Choice>
      <mc:Fallback>
        <control shapeId="1199" r:id="rId165" name="CheckBox174"/>
      </mc:Fallback>
    </mc:AlternateContent>
    <mc:AlternateContent xmlns:mc="http://schemas.openxmlformats.org/markup-compatibility/2006">
      <mc:Choice Requires="x14">
        <control shapeId="1200" r:id="rId166" name="CheckBox175">
          <controlPr defaultSize="0" autoLine="0" linkedCell="A176" r:id="rId18">
            <anchor moveWithCells="1">
              <from>
                <xdr:col>0</xdr:col>
                <xdr:colOff>243840</xdr:colOff>
                <xdr:row>175</xdr:row>
                <xdr:rowOff>0</xdr:rowOff>
              </from>
              <to>
                <xdr:col>0</xdr:col>
                <xdr:colOff>449580</xdr:colOff>
                <xdr:row>175</xdr:row>
                <xdr:rowOff>175260</xdr:rowOff>
              </to>
            </anchor>
          </controlPr>
        </control>
      </mc:Choice>
      <mc:Fallback>
        <control shapeId="1200" r:id="rId166" name="CheckBox175"/>
      </mc:Fallback>
    </mc:AlternateContent>
    <mc:AlternateContent xmlns:mc="http://schemas.openxmlformats.org/markup-compatibility/2006">
      <mc:Choice Requires="x14">
        <control shapeId="1201" r:id="rId167" name="CheckBox176">
          <controlPr defaultSize="0" autoLine="0" linkedCell="A177" r:id="rId18">
            <anchor moveWithCells="1">
              <from>
                <xdr:col>0</xdr:col>
                <xdr:colOff>243840</xdr:colOff>
                <xdr:row>176</xdr:row>
                <xdr:rowOff>0</xdr:rowOff>
              </from>
              <to>
                <xdr:col>0</xdr:col>
                <xdr:colOff>449580</xdr:colOff>
                <xdr:row>176</xdr:row>
                <xdr:rowOff>175260</xdr:rowOff>
              </to>
            </anchor>
          </controlPr>
        </control>
      </mc:Choice>
      <mc:Fallback>
        <control shapeId="1201" r:id="rId167" name="CheckBox176"/>
      </mc:Fallback>
    </mc:AlternateContent>
    <mc:AlternateContent xmlns:mc="http://schemas.openxmlformats.org/markup-compatibility/2006">
      <mc:Choice Requires="x14">
        <control shapeId="1202" r:id="rId168" name="CheckBox177">
          <controlPr defaultSize="0" autoLine="0" linkedCell="A178" r:id="rId18">
            <anchor moveWithCells="1">
              <from>
                <xdr:col>0</xdr:col>
                <xdr:colOff>243840</xdr:colOff>
                <xdr:row>177</xdr:row>
                <xdr:rowOff>0</xdr:rowOff>
              </from>
              <to>
                <xdr:col>0</xdr:col>
                <xdr:colOff>449580</xdr:colOff>
                <xdr:row>177</xdr:row>
                <xdr:rowOff>175260</xdr:rowOff>
              </to>
            </anchor>
          </controlPr>
        </control>
      </mc:Choice>
      <mc:Fallback>
        <control shapeId="1202" r:id="rId168" name="CheckBox177"/>
      </mc:Fallback>
    </mc:AlternateContent>
    <mc:AlternateContent xmlns:mc="http://schemas.openxmlformats.org/markup-compatibility/2006">
      <mc:Choice Requires="x14">
        <control shapeId="1203" r:id="rId169" name="CheckBox167">
          <controlPr defaultSize="0" autoLine="0" linkedCell="A168" r:id="rId5">
            <anchor moveWithCells="1">
              <from>
                <xdr:col>0</xdr:col>
                <xdr:colOff>243840</xdr:colOff>
                <xdr:row>167</xdr:row>
                <xdr:rowOff>0</xdr:rowOff>
              </from>
              <to>
                <xdr:col>0</xdr:col>
                <xdr:colOff>449580</xdr:colOff>
                <xdr:row>168</xdr:row>
                <xdr:rowOff>0</xdr:rowOff>
              </to>
            </anchor>
          </controlPr>
        </control>
      </mc:Choice>
      <mc:Fallback>
        <control shapeId="1203" r:id="rId169" name="CheckBox167"/>
      </mc:Fallback>
    </mc:AlternateContent>
    <mc:AlternateContent xmlns:mc="http://schemas.openxmlformats.org/markup-compatibility/2006">
      <mc:Choice Requires="x14">
        <control shapeId="1204" r:id="rId170" name="CheckBox180">
          <controlPr defaultSize="0" autoLine="0" linkedCell="A181" r:id="rId5">
            <anchor moveWithCells="1">
              <from>
                <xdr:col>0</xdr:col>
                <xdr:colOff>243840</xdr:colOff>
                <xdr:row>180</xdr:row>
                <xdr:rowOff>0</xdr:rowOff>
              </from>
              <to>
                <xdr:col>0</xdr:col>
                <xdr:colOff>449580</xdr:colOff>
                <xdr:row>181</xdr:row>
                <xdr:rowOff>0</xdr:rowOff>
              </to>
            </anchor>
          </controlPr>
        </control>
      </mc:Choice>
      <mc:Fallback>
        <control shapeId="1204" r:id="rId170" name="CheckBox180"/>
      </mc:Fallback>
    </mc:AlternateContent>
    <mc:AlternateContent xmlns:mc="http://schemas.openxmlformats.org/markup-compatibility/2006">
      <mc:Choice Requires="x14">
        <control shapeId="1205" r:id="rId171" name="CheckBox181">
          <controlPr defaultSize="0" autoLine="0" linkedCell="A182" r:id="rId18">
            <anchor moveWithCells="1">
              <from>
                <xdr:col>0</xdr:col>
                <xdr:colOff>243840</xdr:colOff>
                <xdr:row>181</xdr:row>
                <xdr:rowOff>0</xdr:rowOff>
              </from>
              <to>
                <xdr:col>0</xdr:col>
                <xdr:colOff>449580</xdr:colOff>
                <xdr:row>181</xdr:row>
                <xdr:rowOff>175260</xdr:rowOff>
              </to>
            </anchor>
          </controlPr>
        </control>
      </mc:Choice>
      <mc:Fallback>
        <control shapeId="1205" r:id="rId171" name="CheckBox181"/>
      </mc:Fallback>
    </mc:AlternateContent>
    <mc:AlternateContent xmlns:mc="http://schemas.openxmlformats.org/markup-compatibility/2006">
      <mc:Choice Requires="x14">
        <control shapeId="1206" r:id="rId172" name="CheckBox182">
          <controlPr defaultSize="0" autoLine="0" linkedCell="A183" r:id="rId5">
            <anchor moveWithCells="1">
              <from>
                <xdr:col>0</xdr:col>
                <xdr:colOff>243840</xdr:colOff>
                <xdr:row>182</xdr:row>
                <xdr:rowOff>0</xdr:rowOff>
              </from>
              <to>
                <xdr:col>0</xdr:col>
                <xdr:colOff>449580</xdr:colOff>
                <xdr:row>183</xdr:row>
                <xdr:rowOff>0</xdr:rowOff>
              </to>
            </anchor>
          </controlPr>
        </control>
      </mc:Choice>
      <mc:Fallback>
        <control shapeId="1206" r:id="rId172" name="CheckBox182"/>
      </mc:Fallback>
    </mc:AlternateContent>
    <mc:AlternateContent xmlns:mc="http://schemas.openxmlformats.org/markup-compatibility/2006">
      <mc:Choice Requires="x14">
        <control shapeId="1207" r:id="rId173" name="CheckBox183">
          <controlPr defaultSize="0" autoLine="0" linkedCell="A184" r:id="rId18">
            <anchor moveWithCells="1">
              <from>
                <xdr:col>0</xdr:col>
                <xdr:colOff>243840</xdr:colOff>
                <xdr:row>183</xdr:row>
                <xdr:rowOff>0</xdr:rowOff>
              </from>
              <to>
                <xdr:col>0</xdr:col>
                <xdr:colOff>449580</xdr:colOff>
                <xdr:row>183</xdr:row>
                <xdr:rowOff>175260</xdr:rowOff>
              </to>
            </anchor>
          </controlPr>
        </control>
      </mc:Choice>
      <mc:Fallback>
        <control shapeId="1207" r:id="rId173" name="CheckBox183"/>
      </mc:Fallback>
    </mc:AlternateContent>
    <mc:AlternateContent xmlns:mc="http://schemas.openxmlformats.org/markup-compatibility/2006">
      <mc:Choice Requires="x14">
        <control shapeId="1208" r:id="rId174" name="CheckBox184">
          <controlPr defaultSize="0" autoLine="0" linkedCell="A185" r:id="rId18">
            <anchor moveWithCells="1">
              <from>
                <xdr:col>0</xdr:col>
                <xdr:colOff>243840</xdr:colOff>
                <xdr:row>184</xdr:row>
                <xdr:rowOff>0</xdr:rowOff>
              </from>
              <to>
                <xdr:col>0</xdr:col>
                <xdr:colOff>449580</xdr:colOff>
                <xdr:row>184</xdr:row>
                <xdr:rowOff>175260</xdr:rowOff>
              </to>
            </anchor>
          </controlPr>
        </control>
      </mc:Choice>
      <mc:Fallback>
        <control shapeId="1208" r:id="rId174" name="CheckBox184"/>
      </mc:Fallback>
    </mc:AlternateContent>
    <mc:AlternateContent xmlns:mc="http://schemas.openxmlformats.org/markup-compatibility/2006">
      <mc:Choice Requires="x14">
        <control shapeId="1209" r:id="rId175" name="CheckBox185">
          <controlPr defaultSize="0" autoLine="0" linkedCell="A186" r:id="rId18">
            <anchor moveWithCells="1">
              <from>
                <xdr:col>0</xdr:col>
                <xdr:colOff>243840</xdr:colOff>
                <xdr:row>185</xdr:row>
                <xdr:rowOff>0</xdr:rowOff>
              </from>
              <to>
                <xdr:col>0</xdr:col>
                <xdr:colOff>449580</xdr:colOff>
                <xdr:row>185</xdr:row>
                <xdr:rowOff>175260</xdr:rowOff>
              </to>
            </anchor>
          </controlPr>
        </control>
      </mc:Choice>
      <mc:Fallback>
        <control shapeId="1209" r:id="rId175" name="CheckBox185"/>
      </mc:Fallback>
    </mc:AlternateContent>
    <mc:AlternateContent xmlns:mc="http://schemas.openxmlformats.org/markup-compatibility/2006">
      <mc:Choice Requires="x14">
        <control shapeId="1210" r:id="rId176" name="CheckBox186">
          <controlPr defaultSize="0" autoLine="0" linkedCell="A187" r:id="rId18">
            <anchor moveWithCells="1">
              <from>
                <xdr:col>0</xdr:col>
                <xdr:colOff>243840</xdr:colOff>
                <xdr:row>186</xdr:row>
                <xdr:rowOff>0</xdr:rowOff>
              </from>
              <to>
                <xdr:col>0</xdr:col>
                <xdr:colOff>449580</xdr:colOff>
                <xdr:row>186</xdr:row>
                <xdr:rowOff>175260</xdr:rowOff>
              </to>
            </anchor>
          </controlPr>
        </control>
      </mc:Choice>
      <mc:Fallback>
        <control shapeId="1210" r:id="rId176" name="CheckBox186"/>
      </mc:Fallback>
    </mc:AlternateContent>
    <mc:AlternateContent xmlns:mc="http://schemas.openxmlformats.org/markup-compatibility/2006">
      <mc:Choice Requires="x14">
        <control shapeId="1211" r:id="rId177" name="CheckBox187">
          <controlPr defaultSize="0" autoLine="0" linkedCell="A188" r:id="rId18">
            <anchor moveWithCells="1">
              <from>
                <xdr:col>0</xdr:col>
                <xdr:colOff>243840</xdr:colOff>
                <xdr:row>187</xdr:row>
                <xdr:rowOff>0</xdr:rowOff>
              </from>
              <to>
                <xdr:col>0</xdr:col>
                <xdr:colOff>449580</xdr:colOff>
                <xdr:row>187</xdr:row>
                <xdr:rowOff>175260</xdr:rowOff>
              </to>
            </anchor>
          </controlPr>
        </control>
      </mc:Choice>
      <mc:Fallback>
        <control shapeId="1211" r:id="rId177" name="CheckBox187"/>
      </mc:Fallback>
    </mc:AlternateContent>
    <mc:AlternateContent xmlns:mc="http://schemas.openxmlformats.org/markup-compatibility/2006">
      <mc:Choice Requires="x14">
        <control shapeId="1212" r:id="rId178" name="CheckBox188">
          <controlPr defaultSize="0" autoLine="0" linkedCell="A189" r:id="rId18">
            <anchor moveWithCells="1">
              <from>
                <xdr:col>0</xdr:col>
                <xdr:colOff>243840</xdr:colOff>
                <xdr:row>188</xdr:row>
                <xdr:rowOff>0</xdr:rowOff>
              </from>
              <to>
                <xdr:col>0</xdr:col>
                <xdr:colOff>449580</xdr:colOff>
                <xdr:row>188</xdr:row>
                <xdr:rowOff>175260</xdr:rowOff>
              </to>
            </anchor>
          </controlPr>
        </control>
      </mc:Choice>
      <mc:Fallback>
        <control shapeId="1212" r:id="rId178" name="CheckBox188"/>
      </mc:Fallback>
    </mc:AlternateContent>
    <mc:AlternateContent xmlns:mc="http://schemas.openxmlformats.org/markup-compatibility/2006">
      <mc:Choice Requires="x14">
        <control shapeId="1213" r:id="rId179" name="CheckBox189">
          <controlPr defaultSize="0" autoLine="0" linkedCell="A190" r:id="rId18">
            <anchor moveWithCells="1">
              <from>
                <xdr:col>0</xdr:col>
                <xdr:colOff>243840</xdr:colOff>
                <xdr:row>189</xdr:row>
                <xdr:rowOff>0</xdr:rowOff>
              </from>
              <to>
                <xdr:col>0</xdr:col>
                <xdr:colOff>449580</xdr:colOff>
                <xdr:row>189</xdr:row>
                <xdr:rowOff>175260</xdr:rowOff>
              </to>
            </anchor>
          </controlPr>
        </control>
      </mc:Choice>
      <mc:Fallback>
        <control shapeId="1213" r:id="rId179" name="CheckBox189"/>
      </mc:Fallback>
    </mc:AlternateContent>
    <mc:AlternateContent xmlns:mc="http://schemas.openxmlformats.org/markup-compatibility/2006">
      <mc:Choice Requires="x14">
        <control shapeId="1214" r:id="rId180" name="CheckBox179">
          <controlPr defaultSize="0" autoLine="0" linkedCell="A180" r:id="rId5">
            <anchor moveWithCells="1">
              <from>
                <xdr:col>0</xdr:col>
                <xdr:colOff>243840</xdr:colOff>
                <xdr:row>179</xdr:row>
                <xdr:rowOff>0</xdr:rowOff>
              </from>
              <to>
                <xdr:col>0</xdr:col>
                <xdr:colOff>449580</xdr:colOff>
                <xdr:row>180</xdr:row>
                <xdr:rowOff>0</xdr:rowOff>
              </to>
            </anchor>
          </controlPr>
        </control>
      </mc:Choice>
      <mc:Fallback>
        <control shapeId="1214" r:id="rId180" name="CheckBox179"/>
      </mc:Fallback>
    </mc:AlternateContent>
    <mc:AlternateContent xmlns:mc="http://schemas.openxmlformats.org/markup-compatibility/2006">
      <mc:Choice Requires="x14">
        <control shapeId="1215" r:id="rId181" name="CheckBox190">
          <controlPr defaultSize="0" autoLine="0" linkedCell="A191" r:id="rId18">
            <anchor moveWithCells="1">
              <from>
                <xdr:col>0</xdr:col>
                <xdr:colOff>243840</xdr:colOff>
                <xdr:row>190</xdr:row>
                <xdr:rowOff>0</xdr:rowOff>
              </from>
              <to>
                <xdr:col>0</xdr:col>
                <xdr:colOff>449580</xdr:colOff>
                <xdr:row>190</xdr:row>
                <xdr:rowOff>175260</xdr:rowOff>
              </to>
            </anchor>
          </controlPr>
        </control>
      </mc:Choice>
      <mc:Fallback>
        <control shapeId="1215" r:id="rId181" name="CheckBox190"/>
      </mc:Fallback>
    </mc:AlternateContent>
    <mc:AlternateContent xmlns:mc="http://schemas.openxmlformats.org/markup-compatibility/2006">
      <mc:Choice Requires="x14">
        <control shapeId="1216" r:id="rId182" name="CheckBox40">
          <controlPr defaultSize="0" autoLine="0" linkedCell="A41" r:id="rId5">
            <anchor moveWithCells="1">
              <from>
                <xdr:col>0</xdr:col>
                <xdr:colOff>243840</xdr:colOff>
                <xdr:row>40</xdr:row>
                <xdr:rowOff>0</xdr:rowOff>
              </from>
              <to>
                <xdr:col>0</xdr:col>
                <xdr:colOff>449580</xdr:colOff>
                <xdr:row>41</xdr:row>
                <xdr:rowOff>0</xdr:rowOff>
              </to>
            </anchor>
          </controlPr>
        </control>
      </mc:Choice>
      <mc:Fallback>
        <control shapeId="1216" r:id="rId182" name="CheckBox40"/>
      </mc:Fallback>
    </mc:AlternateContent>
    <mc:AlternateContent xmlns:mc="http://schemas.openxmlformats.org/markup-compatibility/2006">
      <mc:Choice Requires="x14">
        <control shapeId="1217" r:id="rId183" name="CheckBox22">
          <controlPr defaultSize="0" autoLine="0" linkedCell="A23" r:id="rId5">
            <anchor moveWithCells="1">
              <from>
                <xdr:col>0</xdr:col>
                <xdr:colOff>243840</xdr:colOff>
                <xdr:row>22</xdr:row>
                <xdr:rowOff>0</xdr:rowOff>
              </from>
              <to>
                <xdr:col>0</xdr:col>
                <xdr:colOff>449580</xdr:colOff>
                <xdr:row>23</xdr:row>
                <xdr:rowOff>0</xdr:rowOff>
              </to>
            </anchor>
          </controlPr>
        </control>
      </mc:Choice>
      <mc:Fallback>
        <control shapeId="1217" r:id="rId183" name="CheckBox22"/>
      </mc:Fallback>
    </mc:AlternateContent>
    <mc:AlternateContent xmlns:mc="http://schemas.openxmlformats.org/markup-compatibility/2006">
      <mc:Choice Requires="x14">
        <control shapeId="1218" r:id="rId184" name="CheckBox91">
          <controlPr defaultSize="0" autoLine="0" linkedCell="A92" r:id="rId89">
            <anchor moveWithCells="1">
              <from>
                <xdr:col>0</xdr:col>
                <xdr:colOff>243840</xdr:colOff>
                <xdr:row>91</xdr:row>
                <xdr:rowOff>0</xdr:rowOff>
              </from>
              <to>
                <xdr:col>0</xdr:col>
                <xdr:colOff>449580</xdr:colOff>
                <xdr:row>92</xdr:row>
                <xdr:rowOff>0</xdr:rowOff>
              </to>
            </anchor>
          </controlPr>
        </control>
      </mc:Choice>
      <mc:Fallback>
        <control shapeId="1218" r:id="rId184" name="CheckBox91"/>
      </mc:Fallback>
    </mc:AlternateContent>
    <mc:AlternateContent xmlns:mc="http://schemas.openxmlformats.org/markup-compatibility/2006">
      <mc:Choice Requires="x14">
        <control shapeId="1219" r:id="rId185" name="CheckBox105">
          <controlPr defaultSize="0" autoLine="0" linkedCell="A106" r:id="rId5">
            <anchor moveWithCells="1">
              <from>
                <xdr:col>0</xdr:col>
                <xdr:colOff>243840</xdr:colOff>
                <xdr:row>105</xdr:row>
                <xdr:rowOff>0</xdr:rowOff>
              </from>
              <to>
                <xdr:col>0</xdr:col>
                <xdr:colOff>449580</xdr:colOff>
                <xdr:row>106</xdr:row>
                <xdr:rowOff>0</xdr:rowOff>
              </to>
            </anchor>
          </controlPr>
        </control>
      </mc:Choice>
      <mc:Fallback>
        <control shapeId="1219" r:id="rId185" name="CheckBox105"/>
      </mc:Fallback>
    </mc:AlternateContent>
    <mc:AlternateContent xmlns:mc="http://schemas.openxmlformats.org/markup-compatibility/2006">
      <mc:Choice Requires="x14">
        <control shapeId="1220" r:id="rId186" name="CheckBox2">
          <controlPr defaultSize="0" autoLine="0" linkedCell="A19" r:id="rId5">
            <anchor moveWithCells="1">
              <from>
                <xdr:col>0</xdr:col>
                <xdr:colOff>243840</xdr:colOff>
                <xdr:row>18</xdr:row>
                <xdr:rowOff>0</xdr:rowOff>
              </from>
              <to>
                <xdr:col>0</xdr:col>
                <xdr:colOff>449580</xdr:colOff>
                <xdr:row>19</xdr:row>
                <xdr:rowOff>0</xdr:rowOff>
              </to>
            </anchor>
          </controlPr>
        </control>
      </mc:Choice>
      <mc:Fallback>
        <control shapeId="1220" r:id="rId18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041C-1613-46CE-BBC4-FEC441AF0EDC}">
  <dimension ref="A1:C194"/>
  <sheetViews>
    <sheetView topLeftCell="A43" workbookViewId="0">
      <selection activeCell="A59" sqref="A59"/>
    </sheetView>
  </sheetViews>
  <sheetFormatPr defaultRowHeight="14.4" x14ac:dyDescent="0.3"/>
  <cols>
    <col min="1" max="1" width="114.6640625" bestFit="1" customWidth="1"/>
  </cols>
  <sheetData>
    <row r="1" spans="1:1" x14ac:dyDescent="0.3">
      <c r="A1" s="55" t="str">
        <f>IF(Legacy_MCA!A1,"Subject", "to_be_deleted")</f>
        <v>Subject</v>
      </c>
    </row>
    <row r="2" spans="1:1" x14ac:dyDescent="0.3">
      <c r="A2" t="str">
        <f>IF(Legacy_MCA!A3,Legacy_MCA!B3&amp;" | "&amp;Legacy_MCA!C3&amp;" | "&amp;Legacy_MCA!D3&amp;" | "&amp;Legacy_MCA!E3&amp;" | "&amp;Legacy_MCA!F3&amp;" | "&amp;Legacy_MCA!G3&amp;" | "&amp;Legacy_MCA!H3, "to_be_deleted")</f>
        <v>MIC | MNS |  IX-STF  | DONALDSONVILLE | FA 10020757 | LAL01025/LAL05025/LBRN011025 | LTE Configuration Update/Cband/DoD</v>
      </c>
    </row>
    <row r="4" spans="1:1" x14ac:dyDescent="0.3">
      <c r="A4" s="55" t="str">
        <f>IF(Legacy_MCA!A6,Legacy_MCA!B6, "to_be_deleted")</f>
        <v>IWM Details</v>
      </c>
    </row>
    <row r="5" spans="1:1" x14ac:dyDescent="0.3">
      <c r="A5" t="str">
        <f>IF(Legacy_MCA!A6, Legacy_MCA!C6,"to_be_deleted")</f>
        <v>Enter IWM details here</v>
      </c>
    </row>
    <row r="7" spans="1:1" x14ac:dyDescent="0.3">
      <c r="A7" s="55" t="str">
        <f>IF(Legacy_MCA!A9,Legacy_MCA!B9, "to_be_deleted")</f>
        <v>Configuration</v>
      </c>
    </row>
    <row r="8" spans="1:1" x14ac:dyDescent="0.3">
      <c r="A8" s="56">
        <v>46155</v>
      </c>
    </row>
    <row r="9" spans="1:1" x14ac:dyDescent="0.3">
      <c r="A9" t="str">
        <f>IF(Legacy_MCA!A10,Legacy_MCA!B10&amp;" : "&amp;Legacy_MCA!C10, "to_be_deleted")</f>
        <v>Pre Configuration : Enter Pre Configuration</v>
      </c>
    </row>
    <row r="10" spans="1:1" x14ac:dyDescent="0.3">
      <c r="A10" t="str">
        <f>IF(Legacy_MCA!A11,Legacy_MCA!B11&amp;" : "&amp;Legacy_MCA!C11, "to_be_deleted")</f>
        <v>Current Configuration : Enter Current Configuration if any Equipment missing as per Final Configuration</v>
      </c>
    </row>
    <row r="11" spans="1:1" x14ac:dyDescent="0.3">
      <c r="A11" t="str">
        <f>IF(Legacy_MCA!A12,Legacy_MCA!B12&amp;" : "&amp;Legacy_MCA!C12, "to_be_deleted")</f>
        <v>Post Configuration : Enter Post Configuration</v>
      </c>
    </row>
    <row r="12" spans="1:1" x14ac:dyDescent="0.3">
      <c r="A12" t="str">
        <f>IF(Legacy_MCA!A13,Legacy_MCA!B13&amp;" : "&amp;Legacy_MCA!C13, "to_be_deleted")</f>
        <v>WLL  node : WLL Node ID</v>
      </c>
    </row>
    <row r="13" spans="1:1" x14ac:dyDescent="0.3">
      <c r="A13" t="str">
        <f>IF(Legacy_MCA!A14,Legacy_MCA!B14&amp;" : "&amp;Legacy_MCA!C14, "to_be_deleted")</f>
        <v>6610 Controller : 6610 Controller ID</v>
      </c>
    </row>
    <row r="14" spans="1:1" x14ac:dyDescent="0.3">
      <c r="A14" t="str">
        <f>IF(Legacy_MCA!A15,Legacy_MCA!B15&amp;" : "&amp;Legacy_MCA!C15, "to_be_deleted")</f>
        <v>Software version : Enter Current SW version</v>
      </c>
    </row>
    <row r="15" spans="1:1" x14ac:dyDescent="0.3">
      <c r="A15" t="str">
        <f>IF(Legacy_MCA!A16,Legacy_MCA!B16&amp;" : "&amp;Legacy_MCA!C16, "to_be_deleted")</f>
        <v>GS Version : Enter Current GS Version</v>
      </c>
    </row>
    <row r="17" spans="1:3" x14ac:dyDescent="0.3">
      <c r="A17" s="55" t="str">
        <f>IF(Legacy_MCA!A18,Legacy_MCA!B18, "to_be_deleted")</f>
        <v>IDL Connections</v>
      </c>
    </row>
    <row r="18" spans="1:3" x14ac:dyDescent="0.3">
      <c r="A18" s="56">
        <v>46155</v>
      </c>
    </row>
    <row r="19" spans="1:3" x14ac:dyDescent="0.3">
      <c r="A19" t="str">
        <f>IF(Legacy_MCA!A19,Legacy_MCA!B19&amp;" : "&amp;Legacy_MCA!C19&amp;" : "&amp;Legacy_MCA!D19&amp;" : "&amp;Legacy_MCA!E19&amp;" : "&amp;Legacy_MCA!F19, "to_be_deleted")</f>
        <v xml:space="preserve">Build Type : Add IDLe/IDLy connection Build Type :  :  : </v>
      </c>
    </row>
    <row r="20" spans="1:3" x14ac:dyDescent="0.3">
      <c r="A20" t="str">
        <f>IF(Legacy_MCA!A20,Legacy_MCA!B20&amp;" : "&amp;Legacy_MCA!C20&amp;" : "&amp;Legacy_MCA!D20&amp;" : "&amp;Legacy_MCA!E20&amp;" : "&amp;Legacy_MCA!F20, "to_be_deleted")</f>
        <v xml:space="preserve">IDLe : IDLe Cable Part Number used or Installed : 1st Node ID (Board Type) : 2nd Node ID (Board Type) : </v>
      </c>
    </row>
    <row r="21" spans="1:3" x14ac:dyDescent="0.3">
      <c r="A21" t="str">
        <f>IF(Legacy_MCA!A21,Legacy_MCA!B21&amp;" : "&amp;Legacy_MCA!C21&amp;" : "&amp;Legacy_MCA!D21&amp;" : "&amp;Legacy_MCA!E21&amp;" : "&amp;Legacy_MCA!F21, "to_be_deleted")</f>
        <v>IDLy : IDLy Cable Part Number used or Installed : 1st Node ID (Board Type) : 2nd Node ID (Board Type) : 3rd Node ID (Board Type)</v>
      </c>
    </row>
    <row r="22" spans="1:3" x14ac:dyDescent="0.3">
      <c r="A22" s="55" t="str">
        <f>IF(Legacy_MCA!A23,Legacy_MCA!B23, "to_be_deleted")</f>
        <v>Switch</v>
      </c>
      <c r="B22" s="55" t="str">
        <f>IF(Legacy_MCA!A23,Legacy_MCA!C23, "to_be_deleted")</f>
        <v>Switch type</v>
      </c>
      <c r="C22" s="55" t="str">
        <f>IF(Legacy_MCA!A23,Legacy_MCA!D23, "to_be_deleted")</f>
        <v>Switch ID</v>
      </c>
    </row>
    <row r="23" spans="1:3" x14ac:dyDescent="0.3">
      <c r="A23" t="str">
        <f>IF(Legacy_MCA!A24,Legacy_MCA!B24, "to_be_deleted")</f>
        <v>Slot/Port</v>
      </c>
      <c r="B23" t="str">
        <f>IF(Legacy_MCA!A24,Legacy_MCA!C24, "to_be_deleted")</f>
        <v>Cable part number</v>
      </c>
      <c r="C23" t="str">
        <f>IF(Legacy_MCA!A24,Legacy_MCA!D24, "to_be_deleted")</f>
        <v>Node ID</v>
      </c>
    </row>
    <row r="24" spans="1:3" x14ac:dyDescent="0.3">
      <c r="A24" t="str">
        <f>IF(Legacy_MCA!A25,Legacy_MCA!B25, "to_be_deleted")</f>
        <v>Manual Feed based on NEST &amp; CIQ</v>
      </c>
      <c r="B24" t="str">
        <f>IF(Legacy_MCA!A25,Legacy_MCA!C25, "to_be_deleted")</f>
        <v>Manual Feed BTS Document and CIQ</v>
      </c>
      <c r="C24" t="str">
        <f>IF(Legacy_MCA!A25,Legacy_MCA!D25, "to_be_deleted")</f>
        <v>Manual Feed based on NEST &amp; CIQ</v>
      </c>
    </row>
    <row r="25" spans="1:3" x14ac:dyDescent="0.3">
      <c r="A25" t="str">
        <f>IF(Legacy_MCA!A26,Legacy_MCA!B26, "to_be_deleted")</f>
        <v>Manual Feed based on NEST &amp; CIQ</v>
      </c>
      <c r="B25" t="str">
        <f>IF(Legacy_MCA!A26,Legacy_MCA!C26, "to_be_deleted")</f>
        <v>Manual Feed BTS Document and CIQ</v>
      </c>
      <c r="C25" t="str">
        <f>IF(Legacy_MCA!A26,Legacy_MCA!D26, "to_be_deleted")</f>
        <v>Manual Feed based on NEST &amp; CIQ</v>
      </c>
    </row>
    <row r="26" spans="1:3" x14ac:dyDescent="0.3">
      <c r="A26" t="str">
        <f>IF(Legacy_MCA!A27,Legacy_MCA!B27, "to_be_deleted")</f>
        <v>Manual Feed based on NEST &amp; CIQ</v>
      </c>
      <c r="B26" t="str">
        <f>IF(Legacy_MCA!A27,Legacy_MCA!C27, "to_be_deleted")</f>
        <v>Manual Feed BTS Document and CIQ</v>
      </c>
      <c r="C26" t="str">
        <f>IF(Legacy_MCA!A27,Legacy_MCA!D27, "to_be_deleted")</f>
        <v>Manual Feed based on NEST &amp; CIQ</v>
      </c>
    </row>
    <row r="27" spans="1:3" x14ac:dyDescent="0.3">
      <c r="A27" t="str">
        <f>IF(Legacy_MCA!A28,Legacy_MCA!B28, "to_be_deleted")</f>
        <v>Manual Feed based on NEST &amp; CIQ</v>
      </c>
      <c r="B27" t="str">
        <f>IF(Legacy_MCA!A28,Legacy_MCA!C28, "to_be_deleted")</f>
        <v>Manual Feed BTS Document and CIQ</v>
      </c>
      <c r="C27" t="str">
        <f>IF(Legacy_MCA!A28,Legacy_MCA!D28, "to_be_deleted")</f>
        <v>Manual Feed based on NEST &amp; CIQ</v>
      </c>
    </row>
    <row r="28" spans="1:3" x14ac:dyDescent="0.3">
      <c r="A28" t="str">
        <f>IF(Legacy_MCA!A29,Legacy_MCA!B29, "to_be_deleted")</f>
        <v>Manual Feed based on NEST &amp; CIQ</v>
      </c>
      <c r="B28" t="str">
        <f>IF(Legacy_MCA!A29,Legacy_MCA!C29, "to_be_deleted")</f>
        <v>Manual Feed BTS Document and CIQ</v>
      </c>
      <c r="C28" t="str">
        <f>IF(Legacy_MCA!A29,Legacy_MCA!D29, "to_be_deleted")</f>
        <v>Manual Feed based on NEST &amp; CIQ</v>
      </c>
    </row>
    <row r="29" spans="1:3" x14ac:dyDescent="0.3">
      <c r="A29" t="str">
        <f>IF(Legacy_MCA!A30,Legacy_MCA!B30, "to_be_deleted")</f>
        <v>Manual Feed based on NEST &amp; CIQ</v>
      </c>
      <c r="B29" t="str">
        <f>IF(Legacy_MCA!A30,Legacy_MCA!C30, "to_be_deleted")</f>
        <v>Manual Feed BTS Document and CIQ</v>
      </c>
      <c r="C29" t="str">
        <f>IF(Legacy_MCA!A30,Legacy_MCA!D30, "to_be_deleted")</f>
        <v>Manual Feed based on NEST &amp; CIQ</v>
      </c>
    </row>
    <row r="30" spans="1:3" x14ac:dyDescent="0.3">
      <c r="A30" t="str">
        <f>IF(Legacy_MCA!A31,Legacy_MCA!B31, "to_be_deleted")</f>
        <v>Manual Feed based on NEST &amp; CIQ</v>
      </c>
      <c r="B30" t="str">
        <f>IF(Legacy_MCA!A31,Legacy_MCA!C31, "to_be_deleted")</f>
        <v>Manual Feed BTS Document and CIQ</v>
      </c>
      <c r="C30" t="str">
        <f>IF(Legacy_MCA!A31,Legacy_MCA!D31, "to_be_deleted")</f>
        <v>Manual Feed based on NEST &amp; CIQ</v>
      </c>
    </row>
    <row r="31" spans="1:3" x14ac:dyDescent="0.3">
      <c r="A31" t="str">
        <f>IF(Legacy_MCA!A32,Legacy_MCA!B32, "to_be_deleted")</f>
        <v>Manual Feed based on NEST &amp; CIQ</v>
      </c>
      <c r="B31" t="str">
        <f>IF(Legacy_MCA!A32,Legacy_MCA!C32, "to_be_deleted")</f>
        <v>Manual Feed BTS Document and CIQ</v>
      </c>
      <c r="C31" t="str">
        <f>IF(Legacy_MCA!A32,Legacy_MCA!D32, "to_be_deleted")</f>
        <v>Manual Feed based on NEST &amp; CIQ</v>
      </c>
    </row>
    <row r="32" spans="1:3" x14ac:dyDescent="0.3">
      <c r="A32" t="str">
        <f>IF(Legacy_MCA!A33,Legacy_MCA!B33, "to_be_deleted")</f>
        <v>Manual Feed based on NEST &amp; CIQ</v>
      </c>
      <c r="B32" t="str">
        <f>IF(Legacy_MCA!A33,Legacy_MCA!C33, "to_be_deleted")</f>
        <v>Manual Feed BTS Document and CIQ</v>
      </c>
      <c r="C32" t="str">
        <f>IF(Legacy_MCA!A33,Legacy_MCA!D33, "to_be_deleted")</f>
        <v>Manual Feed based on NEST &amp; CIQ</v>
      </c>
    </row>
    <row r="33" spans="1:3" x14ac:dyDescent="0.3">
      <c r="A33" t="str">
        <f>IF(Legacy_MCA!A34,Legacy_MCA!B34, "to_be_deleted")</f>
        <v>Manual Feed based on NEST &amp; CIQ</v>
      </c>
      <c r="B33" t="str">
        <f>IF(Legacy_MCA!A34,Legacy_MCA!C34, "to_be_deleted")</f>
        <v>Manual Feed BTS Document and CIQ</v>
      </c>
      <c r="C33" t="str">
        <f>IF(Legacy_MCA!A34,Legacy_MCA!D34, "to_be_deleted")</f>
        <v>Manual Feed based on NEST &amp; CIQ</v>
      </c>
    </row>
    <row r="34" spans="1:3" x14ac:dyDescent="0.3">
      <c r="A34" t="str">
        <f>IF(Legacy_MCA!A35,Legacy_MCA!B35, "to_be_deleted")</f>
        <v>Manual Feed based on NEST &amp; CIQ</v>
      </c>
      <c r="B34" t="str">
        <f>IF(Legacy_MCA!A35,Legacy_MCA!C35, "to_be_deleted")</f>
        <v>Manual Feed BTS Document and CIQ</v>
      </c>
      <c r="C34" t="str">
        <f>IF(Legacy_MCA!A35,Legacy_MCA!D35, "to_be_deleted")</f>
        <v>Manual Feed based on NEST &amp; CIQ</v>
      </c>
    </row>
    <row r="35" spans="1:3" x14ac:dyDescent="0.3">
      <c r="A35" t="str">
        <f>IF(Legacy_MCA!A36,Legacy_MCA!B36, "to_be_deleted")</f>
        <v>Manual Feed based on NEST &amp; CIQ</v>
      </c>
      <c r="B35" t="str">
        <f>IF(Legacy_MCA!A36,Legacy_MCA!C36, "to_be_deleted")</f>
        <v>Manual Feed BTS Document and CIQ</v>
      </c>
      <c r="C35" t="str">
        <f>IF(Legacy_MCA!A36,Legacy_MCA!D36, "to_be_deleted")</f>
        <v>Manual Feed based on NEST &amp; CIQ</v>
      </c>
    </row>
    <row r="36" spans="1:3" x14ac:dyDescent="0.3">
      <c r="A36" t="str">
        <f>IF(Legacy_MCA!A37,Legacy_MCA!B37, "to_be_deleted")</f>
        <v>Manual Feed based on NEST &amp; CIQ</v>
      </c>
      <c r="B36" t="str">
        <f>IF(Legacy_MCA!A37,Legacy_MCA!C37, "to_be_deleted")</f>
        <v>Manual Feed BTS Document and CIQ</v>
      </c>
      <c r="C36" t="str">
        <f>IF(Legacy_MCA!A37,Legacy_MCA!D37, "to_be_deleted")</f>
        <v>Manual Feed based on NEST &amp; CIQ</v>
      </c>
    </row>
    <row r="37" spans="1:3" x14ac:dyDescent="0.3">
      <c r="A37" t="str">
        <f>IF(Legacy_MCA!A38,Legacy_MCA!B38, "to_be_deleted")</f>
        <v>Manual Feed based on NEST &amp; CIQ</v>
      </c>
      <c r="B37" t="str">
        <f>IF(Legacy_MCA!A38,Legacy_MCA!C38, "to_be_deleted")</f>
        <v>Manual Feed BTS Document and CIQ</v>
      </c>
      <c r="C37" t="str">
        <f>IF(Legacy_MCA!A38,Legacy_MCA!D38, "to_be_deleted")</f>
        <v>Manual Feed based on NEST &amp; CIQ</v>
      </c>
    </row>
    <row r="38" spans="1:3" x14ac:dyDescent="0.3">
      <c r="A38" t="str">
        <f>IF(Legacy_MCA!A39,Legacy_MCA!B39, "to_be_deleted")</f>
        <v>Manual Feed based on NEST &amp; CIQ</v>
      </c>
      <c r="B38" t="str">
        <f>IF(Legacy_MCA!A39,Legacy_MCA!C39, "to_be_deleted")</f>
        <v>Manual Feed BTS Document and CIQ</v>
      </c>
      <c r="C38" t="str">
        <f>IF(Legacy_MCA!A39,Legacy_MCA!D39, "to_be_deleted")</f>
        <v>Manual Feed based on NEST &amp; CIQ</v>
      </c>
    </row>
    <row r="40" spans="1:3" x14ac:dyDescent="0.3">
      <c r="A40" s="55" t="str">
        <f>IF(Legacy_MCA!A41,Legacy_MCA!B41, "to_be_deleted")</f>
        <v>Completed</v>
      </c>
    </row>
    <row r="41" spans="1:3" x14ac:dyDescent="0.3">
      <c r="A41" s="56">
        <v>46155</v>
      </c>
    </row>
    <row r="42" spans="1:3" x14ac:dyDescent="0.3">
      <c r="A42" t="str">
        <f>IF(Legacy_MCA!A42,Legacy_MCA!B42&amp;" "&amp;Legacy_MCA!C42&amp;" "&amp;Legacy_MCA!D42&amp;" "&amp;Legacy_MCA!E42&amp;" "&amp;Legacy_MCA!F42&amp;" "&amp;Legacy_MCA!G42, "to_be_deleted")</f>
        <v xml:space="preserve">Integration: Carriers added 1st Node ID   </v>
      </c>
    </row>
    <row r="43" spans="1:3" x14ac:dyDescent="0.3">
      <c r="A43" t="str">
        <f>IF(Legacy_MCA!A43,Legacy_MCA!B43&amp;" "&amp;Legacy_MCA!C43&amp;" "&amp;Legacy_MCA!D43&amp;" "&amp;Legacy_MCA!E43&amp;" "&amp;Legacy_MCA!F43&amp;" "&amp;Legacy_MCA!G43, "to_be_deleted")</f>
        <v xml:space="preserve">Integration: Carriers added 2nd Node ID   </v>
      </c>
    </row>
    <row r="44" spans="1:3" x14ac:dyDescent="0.3">
      <c r="A44" t="str">
        <f>IF(Legacy_MCA!A44,Legacy_MCA!B44&amp;" "&amp;Legacy_MCA!C44&amp;" "&amp;Legacy_MCA!D44&amp;" "&amp;Legacy_MCA!E44&amp;" "&amp;Legacy_MCA!F44&amp;" "&amp;Legacy_MCA!G44, "to_be_deleted")</f>
        <v xml:space="preserve">Integration: Carriers added 3rd Node ID   </v>
      </c>
    </row>
    <row r="45" spans="1:3" x14ac:dyDescent="0.3">
      <c r="A45" t="str">
        <f>IF(Legacy_MCA!A45,Legacy_MCA!B45&amp;" "&amp;Legacy_MCA!C45&amp;" "&amp;Legacy_MCA!D45&amp;" "&amp;Legacy_MCA!E45&amp;" "&amp;Legacy_MCA!F45&amp;" "&amp;Legacy_MCA!G45, "to_be_deleted")</f>
        <v xml:space="preserve">6610 Controller Integration: 6610 Controller ID    </v>
      </c>
    </row>
    <row r="46" spans="1:3" x14ac:dyDescent="0.3">
      <c r="A46" t="str">
        <f>IF(Legacy_MCA!A46,Legacy_MCA!B46&amp;" "&amp;Legacy_MCA!C46&amp;" "&amp;Legacy_MCA!D46&amp;" "&amp;Legacy_MCA!E46&amp;" "&amp;Legacy_MCA!F46&amp;" "&amp;Legacy_MCA!G46, "to_be_deleted")</f>
        <v xml:space="preserve">Port speed 1G to 10G conversion with MPST: Node ID    </v>
      </c>
    </row>
    <row r="47" spans="1:3" x14ac:dyDescent="0.3">
      <c r="A47" t="str">
        <f>IF(Legacy_MCA!A47,Legacy_MCA!B47&amp;" "&amp;Legacy_MCA!C47&amp;" "&amp;Legacy_MCA!D47&amp;" "&amp;Legacy_MCA!E47&amp;" "&amp;Legacy_MCA!F47&amp;" "&amp;Legacy_MCA!G47, "to_be_deleted")</f>
        <v>Moved Sectors: Sectors Moved From: Node ID To: Node ID</v>
      </c>
    </row>
    <row r="48" spans="1:3" x14ac:dyDescent="0.3">
      <c r="A48" t="str">
        <f>IF(Legacy_MCA!A48,Legacy_MCA!B48&amp;" "&amp;Legacy_MCA!C48&amp;" "&amp;Legacy_MCA!D48&amp;" "&amp;Legacy_MCA!E48&amp;" "&amp;Legacy_MCA!F48&amp;" "&amp;Legacy_MCA!G48, "to_be_deleted")</f>
        <v>Moved Sectors: Sectors Moved From: Node ID To: Node ID</v>
      </c>
    </row>
    <row r="49" spans="1:1" x14ac:dyDescent="0.3">
      <c r="A49" t="str">
        <f>IF(Legacy_MCA!A49,Legacy_MCA!B49&amp;" "&amp;Legacy_MCA!C49&amp;" "&amp;Legacy_MCA!D49&amp;" "&amp;Legacy_MCA!E49&amp;" "&amp;Legacy_MCA!F49&amp;" "&amp;Legacy_MCA!G49, "to_be_deleted")</f>
        <v>Moved Sectors: Sectors Moved From: Node ID To: Node ID</v>
      </c>
    </row>
    <row r="50" spans="1:1" x14ac:dyDescent="0.3">
      <c r="A50" t="str">
        <f>IF(Legacy_MCA!A50,Legacy_MCA!B50&amp;" "&amp;Legacy_MCA!C50&amp;" "&amp;Legacy_MCA!D50&amp;" "&amp;Legacy_MCA!E50&amp;" "&amp;Legacy_MCA!F50&amp;" "&amp;Legacy_MCA!G50, "to_be_deleted")</f>
        <v xml:space="preserve">Deleted Node from ENM: Delete Node ID    </v>
      </c>
    </row>
    <row r="51" spans="1:1" x14ac:dyDescent="0.3">
      <c r="A51" t="str">
        <f>IF(Legacy_MCA!A51,Legacy_MCA!B51&amp;" "&amp;Legacy_MCA!C51&amp;" "&amp;Legacy_MCA!D51&amp;" "&amp;Legacy_MCA!E51&amp;" "&amp;Legacy_MCA!F51&amp;" "&amp;Legacy_MCA!G51, "to_be_deleted")</f>
        <v xml:space="preserve">Deleted Sector : Delete Sector ID    </v>
      </c>
    </row>
    <row r="52" spans="1:1" x14ac:dyDescent="0.3">
      <c r="A52" t="str">
        <f>IF(Legacy_MCA!A52,Legacy_MCA!B52&amp;" "&amp;Legacy_MCA!C52&amp;" "&amp;Legacy_MCA!D52&amp;" "&amp;Legacy_MCA!E52&amp;" "&amp;Legacy_MCA!F52&amp;" "&amp;Legacy_MCA!G52, "to_be_deleted")</f>
        <v>Retune on: Retune sector From:  Frequency/BW To:  Frequency/BW</v>
      </c>
    </row>
    <row r="53" spans="1:1" x14ac:dyDescent="0.3">
      <c r="A53" t="str">
        <f>IF(Legacy_MCA!A53,Legacy_MCA!B53&amp;" "&amp;Legacy_MCA!C53&amp;" "&amp;Legacy_MCA!D53&amp;" "&amp;Legacy_MCA!E53&amp;" "&amp;Legacy_MCA!F53&amp;" "&amp;Legacy_MCA!G53, "to_be_deleted")</f>
        <v>Retune on: Retune sector From:  Frequency/BW To:  Frequency/BW</v>
      </c>
    </row>
    <row r="54" spans="1:1" x14ac:dyDescent="0.3">
      <c r="A54" t="e">
        <f>IF(Legacy_MCA!A54,Legacy_MCA!B54&amp;" "&amp;Legacy_MCA!C54&amp;" "&amp;Legacy_MCA!D54&amp;" "&amp;Legacy_MCA!E54&amp;" "&amp;Legacy_MCA!#REF!&amp;" "&amp;Legacy_MCA!F54, "to_be_deleted")</f>
        <v>#REF!</v>
      </c>
    </row>
    <row r="55" spans="1:1" x14ac:dyDescent="0.3">
      <c r="A55" t="e">
        <f>IF(Legacy_MCA!A55,Legacy_MCA!B55&amp;" "&amp;Legacy_MCA!C55&amp;" "&amp;Legacy_MCA!D55&amp;" "&amp;Legacy_MCA!E55&amp;" "&amp;Legacy_MCA!#REF!&amp;" "&amp;Legacy_MCA!F55, "to_be_deleted")</f>
        <v>#REF!</v>
      </c>
    </row>
    <row r="56" spans="1:1" x14ac:dyDescent="0.3">
      <c r="A56" t="str">
        <f>IF(Legacy_MCA!A56,Legacy_MCA!B56&amp;" "&amp;Legacy_MCA!C56&amp;" "&amp;Legacy_MCA!D56&amp;" "&amp;Legacy_MCA!E56&amp;" "&amp;Legacy_MCA!F56&amp;" "&amp;Legacy_MCA!G56, "to_be_deleted")</f>
        <v>Radio Swap on: Radio swap sector From:  Radio type To:  Radio type</v>
      </c>
    </row>
    <row r="57" spans="1:1" x14ac:dyDescent="0.3">
      <c r="A57" t="str">
        <f>IF(Legacy_MCA!A57,Legacy_MCA!B57&amp;" "&amp;Legacy_MCA!C57&amp;" "&amp;Legacy_MCA!D57&amp;" "&amp;Legacy_MCA!E57&amp;" "&amp;Legacy_MCA!F57&amp;" "&amp;Legacy_MCA!G57, "to_be_deleted")</f>
        <v>Radio Swap on: Radio swap sector From:  Radio type To:  Radio type</v>
      </c>
    </row>
    <row r="58" spans="1:1" x14ac:dyDescent="0.3">
      <c r="A58" t="str">
        <f>IF(Legacy_MCA!A58,Legacy_MCA!B58&amp;" "&amp;Legacy_MCA!C58&amp;" "&amp;Legacy_MCA!D58&amp;" "&amp;Legacy_MCA!E58&amp;" "&amp;Legacy_MCA!F58&amp;" "&amp;Legacy_MCA!G58, "to_be_deleted")</f>
        <v>Radio Swap on: Radio swap sector From:  Radio type To:  Radio type</v>
      </c>
    </row>
    <row r="59" spans="1:1" x14ac:dyDescent="0.3">
      <c r="A59" t="str">
        <f>IF(Legacy_MCA!A59,Legacy_MCA!B59&amp;" "&amp;Legacy_MCA!C59&amp;" "&amp;Legacy_MCA!D59&amp;" "&amp;Legacy_MCA!E59&amp;" "&amp;Legacy_MCA!F59&amp;" "&amp;Legacy_MCA!G59, "to_be_deleted")</f>
        <v xml:space="preserve">DSS Activation: Sectors    </v>
      </c>
    </row>
    <row r="60" spans="1:1" x14ac:dyDescent="0.3">
      <c r="A60" t="str">
        <f>IF(Legacy_MCA!A60,Legacy_MCA!B60&amp;" "&amp;Legacy_MCA!C60&amp;" "&amp;Legacy_MCA!D60&amp;" "&amp;Legacy_MCA!E60&amp;" "&amp;Legacy_MCA!F60&amp;" "&amp;Legacy_MCA!G60, "to_be_deleted")</f>
        <v xml:space="preserve">NGS activation: Sectors Node ID   </v>
      </c>
    </row>
    <row r="61" spans="1:1" x14ac:dyDescent="0.3">
      <c r="A61" t="str">
        <f>IF(Legacy_MCA!A61,Legacy_MCA!B61&amp;" "&amp;Legacy_MCA!C61&amp;" "&amp;Legacy_MCA!D61&amp;" "&amp;Legacy_MCA!E61&amp;" "&amp;Legacy_MCA!F61&amp;" "&amp;Legacy_MCA!G61, "to_be_deleted")</f>
        <v xml:space="preserve">GPS Installation: Node ID Version:  GPS Version  </v>
      </c>
    </row>
    <row r="62" spans="1:1" x14ac:dyDescent="0.3">
      <c r="A62" t="str">
        <f>IF(Legacy_MCA!A62,Legacy_MCA!B62&amp;" "&amp;Legacy_MCA!C62&amp;" "&amp;Legacy_MCA!D62&amp;" "&amp;Legacy_MCA!E62&amp;" "&amp;Legacy_MCA!F62&amp;" "&amp;Legacy_MCA!G62, "to_be_deleted")</f>
        <v xml:space="preserve">LKF Installation: Node ID | 6610 Controller ID    </v>
      </c>
    </row>
    <row r="63" spans="1:1" x14ac:dyDescent="0.3">
      <c r="A63" t="str">
        <f>IF(Legacy_MCA!A63,Legacy_MCA!B63&amp;" "&amp;Legacy_MCA!C63&amp;" "&amp;Legacy_MCA!D63&amp;" "&amp;Legacy_MCA!E63&amp;" "&amp;Legacy_MCA!F63&amp;" "&amp;Legacy_MCA!G63, "to_be_deleted")</f>
        <v xml:space="preserve">PSAP test/Speedtest/VoLTE voice calltest: Moved LTE Sectors  PSAP Schedule ID: Enter PSAP Schedule ID  </v>
      </c>
    </row>
    <row r="64" spans="1:1" x14ac:dyDescent="0.3">
      <c r="A64" t="str">
        <f>IF(Legacy_MCA!A64,Legacy_MCA!B64&amp;" "&amp;Legacy_MCA!C64&amp;" "&amp;Legacy_MCA!D64&amp;" "&amp;Legacy_MCA!E64&amp;" "&amp;Legacy_MCA!F64&amp;" "&amp;Legacy_MCA!G64, "to_be_deleted")</f>
        <v xml:space="preserve">Speedtest/VoLTE voice calltest: LTE Sectors     </v>
      </c>
    </row>
    <row r="65" spans="1:1" x14ac:dyDescent="0.3">
      <c r="A65" t="str">
        <f>IF(Legacy_MCA!A65,Legacy_MCA!B65&amp;" "&amp;Legacy_MCA!C65&amp;" "&amp;Legacy_MCA!D65&amp;" "&amp;Legacy_MCA!E65&amp;" "&amp;Legacy_MCA!F65&amp;" "&amp;Legacy_MCA!G65, "to_be_deleted")</f>
        <v xml:space="preserve">Speed test: 5G Sectors    </v>
      </c>
    </row>
    <row r="66" spans="1:1" x14ac:dyDescent="0.3">
      <c r="A66" t="str">
        <f>IF(Legacy_MCA!A66,Legacy_MCA!B66&amp;" "&amp;Legacy_MCA!C66&amp;" "&amp;Legacy_MCA!D66&amp;" "&amp;Legacy_MCA!E66&amp;" "&amp;Legacy_MCA!F66&amp;" "&amp;Legacy_MCA!G66, "to_be_deleted")</f>
        <v xml:space="preserve">Calltest with F-NET SIM: F-NET Sectors    </v>
      </c>
    </row>
    <row r="67" spans="1:1" x14ac:dyDescent="0.3">
      <c r="A67" t="str">
        <f>IF(Legacy_MCA!A67,Legacy_MCA!B67&amp;" "&amp;Legacy_MCA!C67&amp;" "&amp;Legacy_MCA!D67&amp;" "&amp;Legacy_MCA!E67&amp;" "&amp;Legacy_MCA!F67&amp;" "&amp;Legacy_MCA!G67, "to_be_deleted")</f>
        <v xml:space="preserve">Transport SFP Installation on 1st Node ID SFP Model (BBU End) &amp; SFP Model (SIAD End)   </v>
      </c>
    </row>
    <row r="68" spans="1:1" x14ac:dyDescent="0.3">
      <c r="A68" t="str">
        <f>IF(Legacy_MCA!A68,Legacy_MCA!B68&amp;" "&amp;Legacy_MCA!C68&amp;" "&amp;Legacy_MCA!D68&amp;" "&amp;Legacy_MCA!E68&amp;" "&amp;Legacy_MCA!F68&amp;" "&amp;Legacy_MCA!G68, "to_be_deleted")</f>
        <v xml:space="preserve">Transport SFP Installation on 2nd Node ID SFP Model (BBU End) &amp; SFP Model (SIAD End)   </v>
      </c>
    </row>
    <row r="69" spans="1:1" x14ac:dyDescent="0.3">
      <c r="A69" t="str">
        <f>IF(Legacy_MCA!A69,Legacy_MCA!B69&amp;" "&amp;Legacy_MCA!C69&amp;" "&amp;Legacy_MCA!D69&amp;" "&amp;Legacy_MCA!E69&amp;" "&amp;Legacy_MCA!F69&amp;" "&amp;Legacy_MCA!G69, "to_be_deleted")</f>
        <v xml:space="preserve">Transport SFP Installation on 3rd Node ID SFP Model (BBU End) &amp; SFP Model (SIAD End)   </v>
      </c>
    </row>
    <row r="70" spans="1:1" x14ac:dyDescent="0.3">
      <c r="A70" t="str">
        <f>IF(Legacy_MCA!A70,Legacy_MCA!B70&amp;" "&amp;Legacy_MCA!C70&amp;" "&amp;Legacy_MCA!D70&amp;" "&amp;Legacy_MCA!E70&amp;" "&amp;Legacy_MCA!F70&amp;" "&amp;Legacy_MCA!G70, "to_be_deleted")</f>
        <v xml:space="preserve">SFP Installation on SFP Type Sector Details   </v>
      </c>
    </row>
    <row r="71" spans="1:1" x14ac:dyDescent="0.3">
      <c r="A71" t="str">
        <f>IF(Legacy_MCA!A71,Legacy_MCA!B71&amp;" "&amp;Legacy_MCA!C71&amp;" "&amp;Legacy_MCA!D71&amp;" "&amp;Legacy_MCA!E71&amp;" "&amp;Legacy_MCA!F71&amp;" "&amp;Legacy_MCA!G71, "to_be_deleted")</f>
        <v xml:space="preserve">RET configuration     </v>
      </c>
    </row>
    <row r="72" spans="1:1" x14ac:dyDescent="0.3">
      <c r="A72" t="str">
        <f>IF(Legacy_MCA!A72,Legacy_MCA!B72&amp;" "&amp;Legacy_MCA!C72&amp;" "&amp;Legacy_MCA!D72&amp;" "&amp;Legacy_MCA!E72&amp;" "&amp;Legacy_MCA!F72&amp;" "&amp;Legacy_MCA!G72, "to_be_deleted")</f>
        <v xml:space="preserve">External alarm Scripting on Node ID | 6610 Controller ID    </v>
      </c>
    </row>
    <row r="73" spans="1:1" x14ac:dyDescent="0.3">
      <c r="A73" t="str">
        <f>IF(Legacy_MCA!A73,Legacy_MCA!B73&amp;" "&amp;Legacy_MCA!C73&amp;" "&amp;Legacy_MCA!D73&amp;" "&amp;Legacy_MCA!E73&amp;" "&amp;Legacy_MCA!F73&amp;" "&amp;Legacy_MCA!G73, "to_be_deleted")</f>
        <v xml:space="preserve">SAU Connections: Node ID | 6610 Controller ID    </v>
      </c>
    </row>
    <row r="74" spans="1:1" x14ac:dyDescent="0.3">
      <c r="A74" t="str">
        <f>IF(Legacy_MCA!A74,Legacy_MCA!B74&amp;" "&amp;Legacy_MCA!C74&amp;" "&amp;Legacy_MCA!D74&amp;" "&amp;Legacy_MCA!E74&amp;" "&amp;Legacy_MCA!F74&amp;" "&amp;Legacy_MCA!G74, "to_be_deleted")</f>
        <v xml:space="preserve">SUP Connections: Node ID    </v>
      </c>
    </row>
    <row r="75" spans="1:1" x14ac:dyDescent="0.3">
      <c r="A75" t="str">
        <f>IF(Legacy_MCA!A75,Legacy_MCA!B75&amp;" "&amp;Legacy_MCA!C75&amp;" "&amp;Legacy_MCA!D75&amp;" "&amp;Legacy_MCA!E75&amp;" "&amp;Legacy_MCA!F75&amp;" "&amp;Legacy_MCA!G75, "to_be_deleted")</f>
        <v xml:space="preserve">XMU Installation: Node ID    </v>
      </c>
    </row>
    <row r="76" spans="1:1" x14ac:dyDescent="0.3">
      <c r="A76" t="str">
        <f>IF(Legacy_MCA!A76,Legacy_MCA!B76&amp;" "&amp;Legacy_MCA!C76&amp;" "&amp;Legacy_MCA!D76&amp;" "&amp;Legacy_MCA!E76&amp;" "&amp;Legacy_MCA!F76&amp;" "&amp;Legacy_MCA!G76, "to_be_deleted")</f>
        <v xml:space="preserve">IDL connections     </v>
      </c>
    </row>
    <row r="77" spans="1:1" x14ac:dyDescent="0.3">
      <c r="A77" t="str">
        <f>IF(Legacy_MCA!A77,Legacy_MCA!B77&amp;" "&amp;Legacy_MCA!C77&amp;" "&amp;Legacy_MCA!D77&amp;" "&amp;Legacy_MCA!E77&amp;" "&amp;Legacy_MCA!F77&amp;" "&amp;Legacy_MCA!G77, "to_be_deleted")</f>
        <v xml:space="preserve">External alarm testing: Node ID | 6610 Controller ID    </v>
      </c>
    </row>
    <row r="78" spans="1:1" x14ac:dyDescent="0.3">
      <c r="A78" t="str">
        <f>IF(Legacy_MCA!A78,Legacy_MCA!B78&amp;" "&amp;Legacy_MCA!C78&amp;" "&amp;Legacy_MCA!D78&amp;" "&amp;Legacy_MCA!E78&amp;" "&amp;Legacy_MCA!F78&amp;" "&amp;Legacy_MCA!G78, "to_be_deleted")</f>
        <v xml:space="preserve">6673 Script load Switch ID    </v>
      </c>
    </row>
    <row r="79" spans="1:1" x14ac:dyDescent="0.3">
      <c r="A79" t="str">
        <f>IF(Legacy_MCA!A79,Legacy_MCA!B79&amp;" "&amp;Legacy_MCA!C79&amp;" "&amp;Legacy_MCA!D79&amp;" "&amp;Legacy_MCA!E79&amp;" "&amp;Legacy_MCA!F79&amp;" "&amp;Legacy_MCA!G79, "to_be_deleted")</f>
        <v xml:space="preserve">Installation 6673/6675/6610/SIAD/Baseband's    </v>
      </c>
    </row>
    <row r="80" spans="1:1" x14ac:dyDescent="0.3">
      <c r="A80" t="str">
        <f>IF(Legacy_MCA!A80,Legacy_MCA!B80&amp;" "&amp;Legacy_MCA!C80&amp;" "&amp;Legacy_MCA!D80&amp;" "&amp;Legacy_MCA!E80&amp;" "&amp;Legacy_MCA!F80&amp;" "&amp;Legacy_MCA!G80, "to_be_deleted")</f>
        <v xml:space="preserve">Swap Sector Verfication CBAND|DOD *Applicable for NOCAL Market only   </v>
      </c>
    </row>
    <row r="81" spans="1:1" x14ac:dyDescent="0.3">
      <c r="A81" t="str">
        <f>IF(Legacy_MCA!A81,Legacy_MCA!B81&amp;" : "&amp;Legacy_MCA!C81, "to_be_deleted")</f>
        <v>to_be_deleted</v>
      </c>
    </row>
    <row r="82" spans="1:1" x14ac:dyDescent="0.3">
      <c r="A82" t="str">
        <f>IF(Legacy_MCA!A82,Legacy_MCA!B82&amp;" : "&amp;Legacy_MCA!C82, "to_be_deleted")</f>
        <v>to_be_deleted</v>
      </c>
    </row>
    <row r="83" spans="1:1" x14ac:dyDescent="0.3">
      <c r="A83" t="str">
        <f>IF(Legacy_MCA!A83,Legacy_MCA!B83&amp;" : "&amp;Legacy_MCA!C83, "to_be_deleted")</f>
        <v>to_be_deleted</v>
      </c>
    </row>
    <row r="84" spans="1:1" x14ac:dyDescent="0.3">
      <c r="A84" t="str">
        <f>IF(Legacy_MCA!A84,Legacy_MCA!B84&amp;" : "&amp;Legacy_MCA!C84, "to_be_deleted")</f>
        <v>to_be_deleted</v>
      </c>
    </row>
    <row r="85" spans="1:1" x14ac:dyDescent="0.3">
      <c r="A85" t="str">
        <f>IF(Legacy_MCA!A85,Legacy_MCA!B85&amp;" : "&amp;Legacy_MCA!C85, "to_be_deleted")</f>
        <v>to_be_deleted</v>
      </c>
    </row>
    <row r="86" spans="1:1" x14ac:dyDescent="0.3">
      <c r="A86" t="str">
        <f>IF(Legacy_MCA!A86,Legacy_MCA!B86&amp;" : "&amp;Legacy_MCA!C86, "to_be_deleted")</f>
        <v>to_be_deleted</v>
      </c>
    </row>
    <row r="87" spans="1:1" x14ac:dyDescent="0.3">
      <c r="A87" t="str">
        <f>IF(Legacy_MCA!A87,Legacy_MCA!B87&amp;" : "&amp;Legacy_MCA!C87, "to_be_deleted")</f>
        <v>to_be_deleted</v>
      </c>
    </row>
    <row r="88" spans="1:1" x14ac:dyDescent="0.3">
      <c r="A88" t="str">
        <f>IF(Legacy_MCA!A88,Legacy_MCA!B88&amp;" : "&amp;Legacy_MCA!C88, "to_be_deleted")</f>
        <v>to_be_deleted</v>
      </c>
    </row>
    <row r="89" spans="1:1" x14ac:dyDescent="0.3">
      <c r="A89" t="str">
        <f>IF(Legacy_MCA!A89,Legacy_MCA!B89&amp;" : "&amp;Legacy_MCA!C89, "to_be_deleted")</f>
        <v>to_be_deleted</v>
      </c>
    </row>
    <row r="90" spans="1:1" x14ac:dyDescent="0.3">
      <c r="A90" t="str">
        <f>IF(Legacy_MCA!A90,Legacy_MCA!B90&amp;" : "&amp;Legacy_MCA!C90, "to_be_deleted")</f>
        <v>to_be_deleted</v>
      </c>
    </row>
    <row r="91" spans="1:1" x14ac:dyDescent="0.3">
      <c r="A91" t="str">
        <f>IF(Legacy_MCA!A92,Legacy_MCA!B92&amp;" : "&amp;Legacy_MCA!C92, "to_be_deleted")</f>
        <v>to_be_deleted</v>
      </c>
    </row>
    <row r="92" spans="1:1" x14ac:dyDescent="0.3">
      <c r="A92" t="str">
        <f>IF(Legacy_MCA!A93,Legacy_MCA!B93&amp;" : "&amp;Legacy_MCA!C93, "to_be_deleted")</f>
        <v>to_be_deleted</v>
      </c>
    </row>
    <row r="93" spans="1:1" x14ac:dyDescent="0.3">
      <c r="A93" t="str">
        <f>IF(Legacy_MCA!A94,Legacy_MCA!B94&amp;" : "&amp;Legacy_MCA!C94, "to_be_deleted")</f>
        <v>to_be_deleted</v>
      </c>
    </row>
    <row r="94" spans="1:1" x14ac:dyDescent="0.3">
      <c r="A94" t="str">
        <f>IF(Legacy_MCA!A95,Legacy_MCA!B95&amp;" : "&amp;Legacy_MCA!C95, "to_be_deleted")</f>
        <v>to_be_deleted</v>
      </c>
    </row>
    <row r="95" spans="1:1" x14ac:dyDescent="0.3">
      <c r="A95" t="str">
        <f>IF(Legacy_MCA!A96,Legacy_MCA!B96&amp;" : "&amp;Legacy_MCA!C96, "to_be_deleted")</f>
        <v>to_be_deleted</v>
      </c>
    </row>
    <row r="96" spans="1:1" x14ac:dyDescent="0.3">
      <c r="A96" t="str">
        <f>IF(Legacy_MCA!A97,Legacy_MCA!B97&amp;" : "&amp;Legacy_MCA!C97, "to_be_deleted")</f>
        <v>to_be_deleted</v>
      </c>
    </row>
    <row r="97" spans="1:1" x14ac:dyDescent="0.3">
      <c r="A97" t="str">
        <f>IF(Legacy_MCA!A98,Legacy_MCA!B98&amp;" : "&amp;Legacy_MCA!C98, "to_be_deleted")</f>
        <v>to_be_deleted</v>
      </c>
    </row>
    <row r="98" spans="1:1" x14ac:dyDescent="0.3">
      <c r="A98" t="str">
        <f>IF(Legacy_MCA!A99,Legacy_MCA!B99&amp;" : "&amp;Legacy_MCA!C99, "to_be_deleted")</f>
        <v>to_be_deleted</v>
      </c>
    </row>
    <row r="99" spans="1:1" x14ac:dyDescent="0.3">
      <c r="A99" t="str">
        <f>IF(Legacy_MCA!A100,Legacy_MCA!B100&amp;" : "&amp;Legacy_MCA!C100, "to_be_deleted")</f>
        <v>to_be_deleted</v>
      </c>
    </row>
    <row r="100" spans="1:1" x14ac:dyDescent="0.3">
      <c r="A100" t="str">
        <f>IF(Legacy_MCA!A101,Legacy_MCA!B101&amp;" : "&amp;Legacy_MCA!C101, "to_be_deleted")</f>
        <v>to_be_deleted</v>
      </c>
    </row>
    <row r="101" spans="1:1" x14ac:dyDescent="0.3">
      <c r="A101" t="str">
        <f>IF(Legacy_MCA!A102,Legacy_MCA!B102&amp;" : "&amp;Legacy_MCA!C102, "to_be_deleted")</f>
        <v>to_be_deleted</v>
      </c>
    </row>
    <row r="102" spans="1:1" x14ac:dyDescent="0.3">
      <c r="A102" t="str">
        <f>IF(Legacy_MCA!A103,Legacy_MCA!B103&amp;" : "&amp;Legacy_MCA!C103, "to_be_deleted")</f>
        <v>to_be_deleted</v>
      </c>
    </row>
    <row r="103" spans="1:1" x14ac:dyDescent="0.3">
      <c r="A103" t="str">
        <f>IF(Legacy_MCA!A104,Legacy_MCA!B104&amp;" : "&amp;Legacy_MCA!C104, "to_be_deleted")</f>
        <v>to_be_deleted</v>
      </c>
    </row>
    <row r="106" spans="1:1" x14ac:dyDescent="0.3">
      <c r="A106" s="55" t="str">
        <f>IF(Legacy_MCA!A106,Legacy_MCA!B106, "to_be_deleted")</f>
        <v>Pending</v>
      </c>
    </row>
    <row r="107" spans="1:1" x14ac:dyDescent="0.3">
      <c r="A107" s="56">
        <v>46155</v>
      </c>
    </row>
    <row r="108" spans="1:1" x14ac:dyDescent="0.3">
      <c r="A108" t="str">
        <f>IF(Legacy_MCA!A107,Legacy_MCA!B107&amp;" "&amp;Legacy_MCA!C107&amp;" "&amp;Legacy_MCA!D107&amp;" "&amp;Legacy_MCA!E107&amp;" "&amp;Legacy_MCA!F107&amp;" "&amp;Legacy_MCA!G107&amp;" "&amp;Legacy_MCA!H107&amp;" "&amp;Legacy_MCA!I107, "to_be_deleted")</f>
        <v xml:space="preserve">Post Configuration       </v>
      </c>
    </row>
    <row r="109" spans="1:1" x14ac:dyDescent="0.3">
      <c r="A109" t="str">
        <f>IF(Legacy_MCA!A108,Legacy_MCA!B108&amp;" "&amp;Legacy_MCA!C108&amp;" "&amp;Legacy_MCA!D108&amp;" "&amp;Legacy_MCA!E108&amp;" "&amp;Legacy_MCA!F108&amp;" "&amp;Legacy_MCA!G108&amp;" "&amp;Legacy_MCA!H108&amp;" "&amp;Legacy_MCA!I108, "to_be_deleted")</f>
        <v>Integration: Carriers added Node ID     (MIC PM)</v>
      </c>
    </row>
    <row r="110" spans="1:1" x14ac:dyDescent="0.3">
      <c r="A110" t="str">
        <f>IF(Legacy_MCA!A109,Legacy_MCA!B109&amp;" "&amp;Legacy_MCA!C109&amp;" "&amp;Legacy_MCA!D109&amp;" "&amp;Legacy_MCA!E109&amp;" "&amp;Legacy_MCA!F109&amp;" "&amp;Legacy_MCA!G109&amp;" "&amp;Legacy_MCA!H109&amp;" "&amp;Legacy_MCA!I109, "to_be_deleted")</f>
        <v>Integration: Carriers added Node ID     (MIC PM)</v>
      </c>
    </row>
    <row r="111" spans="1:1" x14ac:dyDescent="0.3">
      <c r="A111" t="str">
        <f>IF(Legacy_MCA!A110,Legacy_MCA!B110&amp;" "&amp;Legacy_MCA!C110&amp;" "&amp;Legacy_MCA!D110&amp;" "&amp;Legacy_MCA!E110&amp;" "&amp;Legacy_MCA!F110&amp;" "&amp;Legacy_MCA!G110&amp;" "&amp;Legacy_MCA!H110&amp;" "&amp;Legacy_MCA!I110, "to_be_deleted")</f>
        <v>Integration: Carriers added Node ID     (MIC PM)</v>
      </c>
    </row>
    <row r="112" spans="1:1" x14ac:dyDescent="0.3">
      <c r="A112" t="str">
        <f>IF(Legacy_MCA!A111,Legacy_MCA!B111&amp;" "&amp;Legacy_MCA!C111&amp;" "&amp;Legacy_MCA!D111&amp;" "&amp;Legacy_MCA!E111&amp;" "&amp;Legacy_MCA!F111&amp;" "&amp;Legacy_MCA!G111&amp;" "&amp;Legacy_MCA!H111&amp;" "&amp;Legacy_MCA!I111, "to_be_deleted")</f>
        <v>6610 Controller Integration: 6610 Controller ID      (MIC PM)</v>
      </c>
    </row>
    <row r="113" spans="1:1" x14ac:dyDescent="0.3">
      <c r="A113" t="str">
        <f>IF(Legacy_MCA!A112,Legacy_MCA!B112&amp;" "&amp;Legacy_MCA!C112&amp;" "&amp;Legacy_MCA!D112&amp;" "&amp;Legacy_MCA!E112&amp;" "&amp;Legacy_MCA!F112&amp;" "&amp;Legacy_MCA!G112&amp;" "&amp;Legacy_MCA!H112&amp;" "&amp;Legacy_MCA!I112, "to_be_deleted")</f>
        <v>SIAD provisioning on Node ID      (AT&amp;T)</v>
      </c>
    </row>
    <row r="114" spans="1:1" x14ac:dyDescent="0.3">
      <c r="A114" t="str">
        <f>IF(Legacy_MCA!A113,Legacy_MCA!B113&amp;" "&amp;Legacy_MCA!C113&amp;" "&amp;Legacy_MCA!D113&amp;" "&amp;Legacy_MCA!E113&amp;" "&amp;Legacy_MCA!F113&amp;" "&amp;Legacy_MCA!G113&amp;" "&amp;Legacy_MCA!H113&amp;" "&amp;Legacy_MCA!I113, "to_be_deleted")</f>
        <v>EDP Publish Node ID | 6610 Controller ID |Switch ID      (AT&amp;T)</v>
      </c>
    </row>
    <row r="115" spans="1:1" x14ac:dyDescent="0.3">
      <c r="A115" t="str">
        <f>IF(Legacy_MCA!A114,Legacy_MCA!B114&amp;" "&amp;Legacy_MCA!C114&amp;" "&amp;Legacy_MCA!D114&amp;" "&amp;Legacy_MCA!E114&amp;" "&amp;Legacy_MCA!F114&amp;" "&amp;Legacy_MCA!G114&amp;" "&amp;Legacy_MCA!H114&amp;" "&amp;Legacy_MCA!I114, "to_be_deleted")</f>
        <v>Port speed 1G to 10G conversion with MPST: Node ID      (MIC PM)</v>
      </c>
    </row>
    <row r="116" spans="1:1" x14ac:dyDescent="0.3">
      <c r="A116" t="str">
        <f>IF(Legacy_MCA!A115,Legacy_MCA!B115&amp;" "&amp;Legacy_MCA!C115&amp;" "&amp;Legacy_MCA!D115&amp;" "&amp;Legacy_MCA!E115&amp;" "&amp;Legacy_MCA!F115&amp;" "&amp;Legacy_MCA!G115&amp;" "&amp;Legacy_MCA!H115&amp;" "&amp;Legacy_MCA!I115, "to_be_deleted")</f>
        <v>Retune on: Retune sector From  Frequency/BW To  Frequency/BW  (MIC)</v>
      </c>
    </row>
    <row r="117" spans="1:1" x14ac:dyDescent="0.3">
      <c r="A117" t="str">
        <f>IF(Legacy_MCA!A116,Legacy_MCA!B116&amp;" "&amp;Legacy_MCA!C116&amp;" "&amp;Legacy_MCA!D116&amp;" "&amp;Legacy_MCA!E116&amp;" "&amp;Legacy_MCA!F116&amp;" "&amp;Legacy_MCA!G116&amp;" "&amp;Legacy_MCA!H116&amp;" "&amp;Legacy_MCA!I116, "to_be_deleted")</f>
        <v>Retune on: Retune sector From  Frequency/BW To  Frequency/BW  (MIC)</v>
      </c>
    </row>
    <row r="118" spans="1:1" x14ac:dyDescent="0.3">
      <c r="A118" t="str">
        <f>IF(Legacy_MCA!A117,Legacy_MCA!B117&amp;" "&amp;Legacy_MCA!C117&amp;" "&amp;Legacy_MCA!D117&amp;" "&amp;Legacy_MCA!E117&amp;" "&amp;Legacy_MCA!F117&amp;" "&amp;Legacy_MCA!G117&amp;" "&amp;Legacy_MCA!H117&amp;" "&amp;Legacy_MCA!I117, "to_be_deleted")</f>
        <v>FDD Renaming on: Sector From FDD NAME  Frequency/BW To FDD NAME (MIC)</v>
      </c>
    </row>
    <row r="119" spans="1:1" x14ac:dyDescent="0.3">
      <c r="A119" t="str">
        <f>IF(Legacy_MCA!A118,Legacy_MCA!B118&amp;" "&amp;Legacy_MCA!C118&amp;" "&amp;Legacy_MCA!D118&amp;" "&amp;Legacy_MCA!E118&amp;" "&amp;Legacy_MCA!F118&amp;" "&amp;Legacy_MCA!G118&amp;" "&amp;Legacy_MCA!H118&amp;" "&amp;Legacy_MCA!I118, "to_be_deleted")</f>
        <v>FDD Renaming on: Sector From FDD NAME  Frequency/BW To FDD NAME (MIC)</v>
      </c>
    </row>
    <row r="120" spans="1:1" x14ac:dyDescent="0.3">
      <c r="A120" t="str">
        <f>IF(Legacy_MCA!A119,Legacy_MCA!B119&amp;" "&amp;Legacy_MCA!C119&amp;" "&amp;Legacy_MCA!D119&amp;" "&amp;Legacy_MCA!E119&amp;" "&amp;Legacy_MCA!F119&amp;" "&amp;Legacy_MCA!G119&amp;" "&amp;Legacy_MCA!H119&amp;" "&amp;Legacy_MCA!I119, "to_be_deleted")</f>
        <v>Radio Swap on: Radio swap sector From  Radio type To  Radio type  (Tower Crew)</v>
      </c>
    </row>
    <row r="121" spans="1:1" x14ac:dyDescent="0.3">
      <c r="A121" t="str">
        <f>IF(Legacy_MCA!A120,Legacy_MCA!B120&amp;" "&amp;Legacy_MCA!C120&amp;" "&amp;Legacy_MCA!D120&amp;" "&amp;Legacy_MCA!E120&amp;" "&amp;Legacy_MCA!F120&amp;" "&amp;Legacy_MCA!G120&amp;" "&amp;Legacy_MCA!H120&amp;" "&amp;Legacy_MCA!I120, "to_be_deleted")</f>
        <v>Radio Swap on: Radio swap sector From  Radio type To  Radio type  (Tower Crew)</v>
      </c>
    </row>
    <row r="122" spans="1:1" x14ac:dyDescent="0.3">
      <c r="A122" t="str">
        <f>IF(Legacy_MCA!A121,Legacy_MCA!B121&amp;" "&amp;Legacy_MCA!C121&amp;" "&amp;Legacy_MCA!D121&amp;" "&amp;Legacy_MCA!E121&amp;" "&amp;Legacy_MCA!F121&amp;" "&amp;Legacy_MCA!G121&amp;" "&amp;Legacy_MCA!H121&amp;" "&amp;Legacy_MCA!I121, "to_be_deleted")</f>
        <v>Radio Swap on: Radio swap sector From  Radio type To  Radio type  (Tower Crew)</v>
      </c>
    </row>
    <row r="123" spans="1:1" x14ac:dyDescent="0.3">
      <c r="A123" t="str">
        <f>IF(Legacy_MCA!A122,Legacy_MCA!B122&amp;" "&amp;Legacy_MCA!C122&amp;" "&amp;Legacy_MCA!D122&amp;" "&amp;Legacy_MCA!E122&amp;" "&amp;Legacy_MCA!F122&amp;" "&amp;Legacy_MCA!G122&amp;" "&amp;Legacy_MCA!H122&amp;" "&amp;Legacy_MCA!I122, "to_be_deleted")</f>
        <v>DSS Activation: Sectors      (MIC|AT&amp;T)</v>
      </c>
    </row>
    <row r="124" spans="1:1" x14ac:dyDescent="0.3">
      <c r="A124" t="str">
        <f>IF(Legacy_MCA!A123,Legacy_MCA!B123&amp;" "&amp;Legacy_MCA!C123&amp;" "&amp;Legacy_MCA!D123&amp;" "&amp;Legacy_MCA!E123&amp;" "&amp;Legacy_MCA!F123&amp;" "&amp;Legacy_MCA!G123&amp;" "&amp;Legacy_MCA!H123&amp;" "&amp;Legacy_MCA!I123, "to_be_deleted")</f>
        <v>NGS activation: Sectors Node ID     (MIC)</v>
      </c>
    </row>
    <row r="125" spans="1:1" x14ac:dyDescent="0.3">
      <c r="A125" t="str">
        <f>IF(Legacy_MCA!A124,Legacy_MCA!B124&amp;" "&amp;Legacy_MCA!C124&amp;" "&amp;Legacy_MCA!D124&amp;" "&amp;Legacy_MCA!E124&amp;" "&amp;Legacy_MCA!F124&amp;" "&amp;Legacy_MCA!G124&amp;" "&amp;Legacy_MCA!H124&amp;" "&amp;Legacy_MCA!I124, "to_be_deleted")</f>
        <v>GPS Installation: Node ID      (MIC PM|Tower Crew)</v>
      </c>
    </row>
    <row r="126" spans="1:1" x14ac:dyDescent="0.3">
      <c r="A126" t="str">
        <f>IF(Legacy_MCA!A125,Legacy_MCA!B125&amp;" "&amp;Legacy_MCA!C125&amp;" "&amp;Legacy_MCA!D125&amp;" "&amp;Legacy_MCA!E125&amp;" "&amp;Legacy_MCA!F125&amp;" "&amp;Legacy_MCA!G125&amp;" "&amp;Legacy_MCA!H125&amp;" "&amp;Legacy_MCA!I125, "to_be_deleted")</f>
        <v>LKF Installation: Node ID | 6610 Controller ID      (MIC)</v>
      </c>
    </row>
    <row r="127" spans="1:1" x14ac:dyDescent="0.3">
      <c r="A127" t="str">
        <f>IF(Legacy_MCA!A126,Legacy_MCA!B126&amp;" "&amp;Legacy_MCA!C126&amp;" "&amp;Legacy_MCA!D126&amp;" "&amp;Legacy_MCA!E126&amp;" "&amp;Legacy_MCA!F126&amp;" "&amp;Legacy_MCA!G126&amp;" "&amp;Legacy_MCA!H126&amp;" "&amp;Legacy_MCA!I126, "to_be_deleted")</f>
        <v>PSAP test/Speedtest/VoLTE voice calltest: Moved LTE Sectors       (MIC PM)</v>
      </c>
    </row>
    <row r="128" spans="1:1" x14ac:dyDescent="0.3">
      <c r="A128" t="str">
        <f>IF(Legacy_MCA!A127,Legacy_MCA!B127&amp;" "&amp;Legacy_MCA!C127&amp;" "&amp;Legacy_MCA!D127&amp;" "&amp;Legacy_MCA!E127&amp;" "&amp;Legacy_MCA!F127&amp;" "&amp;Legacy_MCA!G127&amp;" "&amp;Legacy_MCA!H127&amp;" "&amp;Legacy_MCA!I127, "to_be_deleted")</f>
        <v>Speedtest/VoLTE voice calltest: LTE Sectors       (MIC PM)</v>
      </c>
    </row>
    <row r="129" spans="1:1" x14ac:dyDescent="0.3">
      <c r="A129" t="str">
        <f>IF(Legacy_MCA!A128,Legacy_MCA!B128&amp;" "&amp;Legacy_MCA!C128&amp;" "&amp;Legacy_MCA!D128&amp;" "&amp;Legacy_MCA!E128&amp;" "&amp;Legacy_MCA!F128&amp;" "&amp;Legacy_MCA!G128&amp;" "&amp;Legacy_MCA!H128&amp;" "&amp;Legacy_MCA!I128, "to_be_deleted")</f>
        <v>Speed test: 5G Sectors      (MIC PM)</v>
      </c>
    </row>
    <row r="130" spans="1:1" x14ac:dyDescent="0.3">
      <c r="A130" t="str">
        <f>IF(Legacy_MCA!A129,Legacy_MCA!B129&amp;" "&amp;Legacy_MCA!C129&amp;" "&amp;Legacy_MCA!D129&amp;" "&amp;Legacy_MCA!E129&amp;" "&amp;Legacy_MCA!F129&amp;" "&amp;Legacy_MCA!G129&amp;" "&amp;Legacy_MCA!H129&amp;" "&amp;Legacy_MCA!I129, "to_be_deleted")</f>
        <v>Calltest with F-NET SIM: F-NET Sectors      (MIC PM)</v>
      </c>
    </row>
    <row r="131" spans="1:1" x14ac:dyDescent="0.3">
      <c r="A131" t="str">
        <f>IF(Legacy_MCA!A130,Legacy_MCA!B130&amp;" "&amp;Legacy_MCA!C130&amp;" "&amp;Legacy_MCA!D130&amp;" "&amp;Legacy_MCA!E130&amp;" "&amp;Legacy_MCA!F130&amp;" "&amp;Legacy_MCA!G130&amp;" "&amp;Legacy_MCA!H130&amp;" "&amp;Legacy_MCA!I130, "to_be_deleted")</f>
        <v>SFP Installation: SFP Type Sector Details BBU end    (MIC PM)</v>
      </c>
    </row>
    <row r="132" spans="1:1" x14ac:dyDescent="0.3">
      <c r="A132" t="str">
        <f>IF(Legacy_MCA!A131,Legacy_MCA!B131&amp;" "&amp;Legacy_MCA!C131&amp;" "&amp;Legacy_MCA!D131&amp;" "&amp;Legacy_MCA!E131&amp;" "&amp;Legacy_MCA!F131&amp;" "&amp;Legacy_MCA!G131&amp;" "&amp;Legacy_MCA!H131&amp;" "&amp;Legacy_MCA!I131, "to_be_deleted")</f>
        <v>SFP Installation: SFP Type Sector Details Radio end    (Tower Crew)</v>
      </c>
    </row>
    <row r="133" spans="1:1" x14ac:dyDescent="0.3">
      <c r="A133" t="str">
        <f>IF(Legacy_MCA!A132,Legacy_MCA!B132&amp;" "&amp;Legacy_MCA!C132&amp;" "&amp;Legacy_MCA!D132&amp;" "&amp;Legacy_MCA!E132&amp;" "&amp;Legacy_MCA!F132&amp;" "&amp;Legacy_MCA!G132&amp;" "&amp;Legacy_MCA!H132&amp;" "&amp;Legacy_MCA!I132, "to_be_deleted")</f>
        <v>Compatible Transport SFP Installation on Node ID BBU end     (MIC PM)</v>
      </c>
    </row>
    <row r="134" spans="1:1" x14ac:dyDescent="0.3">
      <c r="A134" t="str">
        <f>IF(Legacy_MCA!A133,Legacy_MCA!B133&amp;" "&amp;Legacy_MCA!C133&amp;" "&amp;Legacy_MCA!D133&amp;" "&amp;Legacy_MCA!E133&amp;" "&amp;Legacy_MCA!F133&amp;" "&amp;Legacy_MCA!G133&amp;" "&amp;Legacy_MCA!H133&amp;" "&amp;Legacy_MCA!I133, "to_be_deleted")</f>
        <v>Compatible Transport SFP Installation on Node ID SIAD end     (MIC PM)</v>
      </c>
    </row>
    <row r="135" spans="1:1" x14ac:dyDescent="0.3">
      <c r="A135" t="str">
        <f>IF(Legacy_MCA!A134,Legacy_MCA!B134&amp;" "&amp;Legacy_MCA!C134&amp;" "&amp;Legacy_MCA!D134&amp;" "&amp;Legacy_MCA!E134&amp;" "&amp;Legacy_MCA!F134&amp;" "&amp;Legacy_MCA!G134&amp;" "&amp;Legacy_MCA!H134&amp;" "&amp;Legacy_MCA!I134, "to_be_deleted")</f>
        <v>Compatible Transport SFP Installation on Node ID BBU end     (MIC PM)</v>
      </c>
    </row>
    <row r="136" spans="1:1" x14ac:dyDescent="0.3">
      <c r="A136" t="str">
        <f>IF(Legacy_MCA!A135,Legacy_MCA!B135&amp;" "&amp;Legacy_MCA!C135&amp;" "&amp;Legacy_MCA!D135&amp;" "&amp;Legacy_MCA!E135&amp;" "&amp;Legacy_MCA!F135&amp;" "&amp;Legacy_MCA!G135&amp;" "&amp;Legacy_MCA!H135&amp;" "&amp;Legacy_MCA!I135, "to_be_deleted")</f>
        <v>Compatible Transport SFP Installation on Node ID SIAD end     (MIC PM)</v>
      </c>
    </row>
    <row r="137" spans="1:1" x14ac:dyDescent="0.3">
      <c r="A137" t="str">
        <f>IF(Legacy_MCA!A136,Legacy_MCA!B136&amp;" "&amp;Legacy_MCA!C136&amp;" "&amp;Legacy_MCA!D136&amp;" "&amp;Legacy_MCA!E136&amp;" "&amp;Legacy_MCA!F136&amp;" "&amp;Legacy_MCA!G136&amp;" "&amp;Legacy_MCA!H136&amp;" "&amp;Legacy_MCA!I136, "to_be_deleted")</f>
        <v>RET configuration       (Tower Crew)</v>
      </c>
    </row>
    <row r="138" spans="1:1" x14ac:dyDescent="0.3">
      <c r="A138" t="str">
        <f>IF(Legacy_MCA!A137,Legacy_MCA!B137&amp;" "&amp;Legacy_MCA!C137&amp;" "&amp;Legacy_MCA!D137&amp;" "&amp;Legacy_MCA!E137&amp;" "&amp;Legacy_MCA!F137&amp;" "&amp;Legacy_MCA!G137&amp;" "&amp;Legacy_MCA!H137&amp;" "&amp;Legacy_MCA!I137, "to_be_deleted")</f>
        <v>External alarm Scripting: Node ID | 6610 Controller ID      (MIC)</v>
      </c>
    </row>
    <row r="139" spans="1:1" x14ac:dyDescent="0.3">
      <c r="A139" t="str">
        <f>IF(Legacy_MCA!A138,Legacy_MCA!B138&amp;" "&amp;Legacy_MCA!C138&amp;" "&amp;Legacy_MCA!D138&amp;" "&amp;Legacy_MCA!E138&amp;" "&amp;Legacy_MCA!F138&amp;" "&amp;Legacy_MCA!G138&amp;" "&amp;Legacy_MCA!H138&amp;" "&amp;Legacy_MCA!I138, "to_be_deleted")</f>
        <v>SAU Connections: Node ID | 6610 Controller ID      (MIC PM)</v>
      </c>
    </row>
    <row r="140" spans="1:1" x14ac:dyDescent="0.3">
      <c r="A140" t="str">
        <f>IF(Legacy_MCA!A139,Legacy_MCA!B139&amp;" "&amp;Legacy_MCA!C139&amp;" "&amp;Legacy_MCA!D139&amp;" "&amp;Legacy_MCA!E139&amp;" "&amp;Legacy_MCA!F139&amp;" "&amp;Legacy_MCA!G139&amp;" "&amp;Legacy_MCA!H139&amp;" "&amp;Legacy_MCA!I139, "to_be_deleted")</f>
        <v>SUP Connections: Node ID      (MIC PM)</v>
      </c>
    </row>
    <row r="141" spans="1:1" x14ac:dyDescent="0.3">
      <c r="A141" t="str">
        <f>IF(Legacy_MCA!A140,Legacy_MCA!B140&amp;" "&amp;Legacy_MCA!C140&amp;" "&amp;Legacy_MCA!D140&amp;" "&amp;Legacy_MCA!E140&amp;" "&amp;Legacy_MCA!F140&amp;" "&amp;Legacy_MCA!G140&amp;" "&amp;Legacy_MCA!H140&amp;" "&amp;Legacy_MCA!I140, "to_be_deleted")</f>
        <v>XMU Installation: Node ID      (MIC PM)</v>
      </c>
    </row>
    <row r="142" spans="1:1" x14ac:dyDescent="0.3">
      <c r="A142" t="str">
        <f>IF(Legacy_MCA!A141,Legacy_MCA!B141&amp;" "&amp;Legacy_MCA!C141&amp;" "&amp;Legacy_MCA!D141&amp;" "&amp;Legacy_MCA!E141&amp;" "&amp;Legacy_MCA!F141&amp;" "&amp;Legacy_MCA!G141&amp;" "&amp;Legacy_MCA!H141&amp;" "&amp;Legacy_MCA!I141, "to_be_deleted")</f>
        <v>Rilinks Scripting: Node ID      (MIC PM)</v>
      </c>
    </row>
    <row r="143" spans="1:1" x14ac:dyDescent="0.3">
      <c r="A143" t="str">
        <f>IF(Legacy_MCA!A142,Legacy_MCA!B142&amp;" "&amp;Legacy_MCA!C142&amp;" "&amp;Legacy_MCA!D142&amp;" "&amp;Legacy_MCA!E142&amp;" "&amp;Legacy_MCA!F142&amp;" "&amp;Legacy_MCA!G142&amp;" "&amp;Legacy_MCA!H142&amp;" "&amp;Legacy_MCA!I142, "to_be_deleted")</f>
        <v>IDL connections       (MIC PM)</v>
      </c>
    </row>
    <row r="144" spans="1:1" x14ac:dyDescent="0.3">
      <c r="A144" t="str">
        <f>IF(Legacy_MCA!A143,Legacy_MCA!B143&amp;" "&amp;Legacy_MCA!C143&amp;" "&amp;Legacy_MCA!D143&amp;" "&amp;Legacy_MCA!E143&amp;" "&amp;Legacy_MCA!F143&amp;" "&amp;Legacy_MCA!G143&amp;" "&amp;Legacy_MCA!H143&amp;" "&amp;Legacy_MCA!I143, "to_be_deleted")</f>
        <v>6673 Script load: Switch ID      (MIC PM)</v>
      </c>
    </row>
    <row r="145" spans="1:1" x14ac:dyDescent="0.3">
      <c r="A145" t="str">
        <f>IF(Legacy_MCA!A144,Legacy_MCA!B144&amp;" "&amp;Legacy_MCA!C144&amp;" "&amp;Legacy_MCA!D144&amp;" "&amp;Legacy_MCA!E144&amp;" "&amp;Legacy_MCA!F144&amp;" "&amp;Legacy_MCA!G144&amp;" "&amp;Legacy_MCA!H144&amp;" "&amp;Legacy_MCA!I144, "to_be_deleted")</f>
        <v>6673 Configuration: Switch ID      (AT&amp;T)</v>
      </c>
    </row>
    <row r="146" spans="1:1" x14ac:dyDescent="0.3">
      <c r="A146" t="str">
        <f>IF(Legacy_MCA!A145,Legacy_MCA!B145&amp;" "&amp;Legacy_MCA!C145&amp;" "&amp;Legacy_MCA!D145&amp;" "&amp;Legacy_MCA!E145&amp;" "&amp;Legacy_MCA!F145&amp;" "&amp;Legacy_MCA!G145&amp;" "&amp;Legacy_MCA!H145&amp;" "&amp;Legacy_MCA!I145, "to_be_deleted")</f>
        <v>6673 Port Configuration in ENM: Slot|Port Number|Node ID Switch ID     (AT&amp;T)</v>
      </c>
    </row>
    <row r="147" spans="1:1" x14ac:dyDescent="0.3">
      <c r="A147" t="str">
        <f>IF(Legacy_MCA!A146,Legacy_MCA!B146&amp;" "&amp;Legacy_MCA!C146&amp;" "&amp;Legacy_MCA!D146&amp;" "&amp;Legacy_MCA!E146&amp;" "&amp;Legacy_MCA!F146&amp;" "&amp;Legacy_MCA!G146&amp;" "&amp;Legacy_MCA!H146&amp;" "&amp;Legacy_MCA!I146, "to_be_deleted")</f>
        <v>Area test: Node ID | 6610 Controller ID Area Lite  - Passed or Failed     (MIC PM)</v>
      </c>
    </row>
    <row r="148" spans="1:1" x14ac:dyDescent="0.3">
      <c r="A148" t="str">
        <f>IF(Legacy_MCA!A147,Legacy_MCA!B147&amp;" "&amp;Legacy_MCA!C147&amp;" "&amp;Legacy_MCA!D147&amp;" "&amp;Legacy_MCA!E147&amp;" "&amp;Legacy_MCA!F147&amp;" "&amp;Legacy_MCA!G147&amp;" "&amp;Legacy_MCA!H147&amp;" "&amp;Legacy_MCA!I147, "to_be_deleted")</f>
        <v>External alarm testing: Node ID | 6610 Controller ID      (MIC PM)</v>
      </c>
    </row>
    <row r="149" spans="1:1" x14ac:dyDescent="0.3">
      <c r="A149" t="str">
        <f>IF(Legacy_MCA!A148,Legacy_MCA!B148&amp;" "&amp;Legacy_MCA!C148&amp;" "&amp;Legacy_MCA!D148&amp;" "&amp;Legacy_MCA!E148&amp;" "&amp;Legacy_MCA!F148&amp;" "&amp;Legacy_MCA!G148&amp;" "&amp;Legacy_MCA!H148&amp;" "&amp;Legacy_MCA!I148, "to_be_deleted")</f>
        <v>Link failure: Radio Node ID     (Tower Crew)</v>
      </c>
    </row>
    <row r="150" spans="1:1" x14ac:dyDescent="0.3">
      <c r="A150" t="str">
        <f>IF(Legacy_MCA!A149,Legacy_MCA!B149&amp;" "&amp;Legacy_MCA!C149&amp;" "&amp;Legacy_MCA!D149&amp;" "&amp;Legacy_MCA!E149&amp;" "&amp;Legacy_MCA!F149&amp;" "&amp;Legacy_MCA!G149&amp;" "&amp;Legacy_MCA!H149&amp;" "&amp;Legacy_MCA!I149, "to_be_deleted")</f>
        <v>SFP Not Present: Radio Node ID     (Tower Crew)</v>
      </c>
    </row>
    <row r="151" spans="1:1" x14ac:dyDescent="0.3">
      <c r="A151" t="str">
        <f>IF(Legacy_MCA!A150,Legacy_MCA!B150&amp;" "&amp;Legacy_MCA!C150&amp;" "&amp;Legacy_MCA!D150&amp;" "&amp;Legacy_MCA!E150&amp;" "&amp;Legacy_MCA!F150&amp;" "&amp;Legacy_MCA!G150&amp;" "&amp;Legacy_MCA!H150&amp;" "&amp;Legacy_MCA!I150, "to_be_deleted")</f>
        <v>Mo Inconsistent configuration alarm: Radio Node ID     (Tower Crew)</v>
      </c>
    </row>
    <row r="152" spans="1:1" x14ac:dyDescent="0.3">
      <c r="A152" t="str">
        <f>IF(Legacy_MCA!A151,Legacy_MCA!B151&amp;" "&amp;Legacy_MCA!C151&amp;" "&amp;Legacy_MCA!D151&amp;" "&amp;Legacy_MCA!E151&amp;" "&amp;Legacy_MCA!F151&amp;" "&amp;Legacy_MCA!G151&amp;" "&amp;Legacy_MCA!H151&amp;" "&amp;Legacy_MCA!I151, "to_be_deleted")</f>
        <v>Fiberloss on Sector Data Link_1: Node ID    (Tower Crew)</v>
      </c>
    </row>
    <row r="153" spans="1:1" x14ac:dyDescent="0.3">
      <c r="A153" t="str">
        <f>IF(Legacy_MCA!A152,Legacy_MCA!B152&amp;" "&amp;Legacy_MCA!C152&amp;" "&amp;Legacy_MCA!D152&amp;" "&amp;Legacy_MCA!E152&amp;" "&amp;Legacy_MCA!F152&amp;" "&amp;Legacy_MCA!G152&amp;" "&amp;Legacy_MCA!H152&amp;" "&amp;Legacy_MCA!I152, "to_be_deleted")</f>
        <v>Fiberloss on Sector Data Link_2: Node ID    (Tower Crew)</v>
      </c>
    </row>
    <row r="154" spans="1:1" x14ac:dyDescent="0.3">
      <c r="A154" t="str">
        <f>IF(Legacy_MCA!A153,Legacy_MCA!B153&amp;" "&amp;Legacy_MCA!C153&amp;" "&amp;Legacy_MCA!D153&amp;" "&amp;Legacy_MCA!E153&amp;" "&amp;Legacy_MCA!F153&amp;" "&amp;Legacy_MCA!G153&amp;" "&amp;Legacy_MCA!H153&amp;" "&amp;Legacy_MCA!I153, "to_be_deleted")</f>
        <v>High RSSI on Sector Node ID     (Tower Crew)</v>
      </c>
    </row>
    <row r="155" spans="1:1" x14ac:dyDescent="0.3">
      <c r="A155" t="str">
        <f>IF(Legacy_MCA!A154,Legacy_MCA!B154&amp;" "&amp;Legacy_MCA!C154&amp;" "&amp;Legacy_MCA!D154&amp;" "&amp;Legacy_MCA!E154&amp;" "&amp;Legacy_MCA!F154&amp;" "&amp;Legacy_MCA!G154&amp;" "&amp;Legacy_MCA!H154&amp;" "&amp;Legacy_MCA!I154, "to_be_deleted")</f>
        <v>Low RSSI on Sector Node ID     (Tower Crew)</v>
      </c>
    </row>
    <row r="156" spans="1:1" x14ac:dyDescent="0.3">
      <c r="A156" t="str">
        <f>IF(Legacy_MCA!A155,Legacy_MCA!B155&amp;" "&amp;Legacy_MCA!C155&amp;" "&amp;Legacy_MCA!D155&amp;" "&amp;Legacy_MCA!E155&amp;" "&amp;Legacy_MCA!F155&amp;" "&amp;Legacy_MCA!G155&amp;" "&amp;Legacy_MCA!H155&amp;" "&amp;Legacy_MCA!I155, "to_be_deleted")</f>
        <v>High VSWR on Radio Node ID     (Tower Crew)</v>
      </c>
    </row>
    <row r="157" spans="1:1" x14ac:dyDescent="0.3">
      <c r="A157" t="str">
        <f>IF(Legacy_MCA!A156,Legacy_MCA!B156&amp;" "&amp;Legacy_MCA!C156&amp;" "&amp;Legacy_MCA!D156&amp;" "&amp;Legacy_MCA!E156&amp;" "&amp;Legacy_MCA!F156&amp;" "&amp;Legacy_MCA!G156&amp;" "&amp;Legacy_MCA!H156&amp;" "&amp;Legacy_MCA!I156, "to_be_deleted")</f>
        <v>Low VSWR on Radio Node ID     (Tower Crew)</v>
      </c>
    </row>
    <row r="158" spans="1:1" x14ac:dyDescent="0.3">
      <c r="A158" t="str">
        <f>IF(Legacy_MCA!A157,Legacy_MCA!B157&amp;" "&amp;Legacy_MCA!C157&amp;" "&amp;Legacy_MCA!D157&amp;" "&amp;Legacy_MCA!E157&amp;" "&amp;Legacy_MCA!F157&amp;" "&amp;Legacy_MCA!G157&amp;" "&amp;Legacy_MCA!H157&amp;" "&amp;Legacy_MCA!I157, "to_be_deleted")</f>
        <v>VSWR overthreshold alarm on Radio Node ID     (Tower Crew)</v>
      </c>
    </row>
    <row r="159" spans="1:1" x14ac:dyDescent="0.3">
      <c r="A159" t="str">
        <f>IF(Legacy_MCA!A158,Legacy_MCA!B158&amp;" "&amp;Legacy_MCA!C158&amp;" "&amp;Legacy_MCA!D158&amp;" "&amp;Legacy_MCA!E158&amp;" "&amp;Legacy_MCA!F158&amp;" "&amp;Legacy_MCA!G158&amp;" "&amp;Legacy_MCA!H158&amp;" "&amp;Legacy_MCA!I158, "to_be_deleted")</f>
        <v>Enter any additional pending information that needs to be report to Market       (Enter Respective stake holder associated with pending item)</v>
      </c>
    </row>
    <row r="160" spans="1:1" x14ac:dyDescent="0.3">
      <c r="A160" t="str">
        <f>IF(Legacy_MCA!A159,Legacy_MCA!B159&amp;" "&amp;Legacy_MCA!C159&amp;" "&amp;Legacy_MCA!D159&amp;" "&amp;Legacy_MCA!E159&amp;" "&amp;Legacy_MCA!F159&amp;" "&amp;Legacy_MCA!G159&amp;" "&amp;Legacy_MCA!H159&amp;" "&amp;Legacy_MCA!I159, "to_be_deleted")</f>
        <v>Enter any additional pending information that needs to be report to Market       (Enter Respective stake holder associated with pending item)</v>
      </c>
    </row>
    <row r="161" spans="1:1" x14ac:dyDescent="0.3">
      <c r="A161" t="str">
        <f>IF(Legacy_MCA!A160,Legacy_MCA!B160&amp;" "&amp;Legacy_MCA!C160&amp;" "&amp;Legacy_MCA!D160&amp;" "&amp;Legacy_MCA!E160&amp;" "&amp;Legacy_MCA!F160&amp;" "&amp;Legacy_MCA!G160&amp;" "&amp;Legacy_MCA!H160&amp;" "&amp;Legacy_MCA!I160, "to_be_deleted")</f>
        <v>Enter any additional pending information that needs to be report to Market       (Enter Respective stake holder associated with pending item)</v>
      </c>
    </row>
    <row r="162" spans="1:1" x14ac:dyDescent="0.3">
      <c r="A162" t="str">
        <f>IF(Legacy_MCA!A161,Legacy_MCA!B161&amp;" "&amp;Legacy_MCA!C161&amp;" "&amp;Legacy_MCA!D161&amp;" "&amp;Legacy_MCA!E161&amp;" "&amp;Legacy_MCA!F161&amp;" "&amp;Legacy_MCA!G161&amp;" "&amp;Legacy_MCA!H161&amp;" "&amp;Legacy_MCA!I161, "to_be_deleted")</f>
        <v>Enter any additional pending information that needs to be report to Market       (Enter Respective stake holder associated with pending item)</v>
      </c>
    </row>
    <row r="163" spans="1:1" x14ac:dyDescent="0.3">
      <c r="A163" t="str">
        <f>IF(Legacy_MCA!A162,Legacy_MCA!B162&amp;" "&amp;Legacy_MCA!C162&amp;" "&amp;Legacy_MCA!D162&amp;" "&amp;Legacy_MCA!E162&amp;" "&amp;Legacy_MCA!F162&amp;" "&amp;Legacy_MCA!G162&amp;" "&amp;Legacy_MCA!H162&amp;" "&amp;Legacy_MCA!I162, "to_be_deleted")</f>
        <v>Enter any additional pending information that needs to be report to Market       (Enter Respective stake holder associated with pending item)</v>
      </c>
    </row>
    <row r="164" spans="1:1" x14ac:dyDescent="0.3">
      <c r="A164" t="str">
        <f>IF(Legacy_MCA!A163,Legacy_MCA!B163&amp;" "&amp;Legacy_MCA!C163&amp;" "&amp;Legacy_MCA!D163&amp;" "&amp;Legacy_MCA!E163&amp;" "&amp;Legacy_MCA!F163&amp;" "&amp;Legacy_MCA!G163&amp;" "&amp;Legacy_MCA!H163&amp;" "&amp;Legacy_MCA!I163, "to_be_deleted")</f>
        <v>Enter any additional pending information that needs to be report to Market       (Enter Respective stake holder associated with pending item)</v>
      </c>
    </row>
    <row r="165" spans="1:1" x14ac:dyDescent="0.3">
      <c r="A165" t="str">
        <f>IF(Legacy_MCA!A164,Legacy_MCA!B164&amp;" "&amp;Legacy_MCA!C164&amp;" "&amp;Legacy_MCA!D164&amp;" "&amp;Legacy_MCA!E164&amp;" "&amp;Legacy_MCA!F164&amp;" "&amp;Legacy_MCA!G164&amp;" "&amp;Legacy_MCA!H164&amp;" "&amp;Legacy_MCA!I164, "to_be_deleted")</f>
        <v>Enter any additional pending information that needs to be report to Market       (Enter Respective stake holder associated with pending item)</v>
      </c>
    </row>
    <row r="166" spans="1:1" x14ac:dyDescent="0.3">
      <c r="A166" t="str">
        <f>IF(Legacy_MCA!A165,Legacy_MCA!B165&amp;" "&amp;Legacy_MCA!C165&amp;" "&amp;Legacy_MCA!D165&amp;" "&amp;Legacy_MCA!E165&amp;" "&amp;Legacy_MCA!F165&amp;" "&amp;Legacy_MCA!G165&amp;" "&amp;Legacy_MCA!H165&amp;" "&amp;Legacy_MCA!I165, "to_be_deleted")</f>
        <v>Enter any additional pending information that needs to be report to Market       (Enter Respective stake holder associated with pending item)</v>
      </c>
    </row>
    <row r="167" spans="1:1" x14ac:dyDescent="0.3">
      <c r="A167" t="str">
        <f>IF(Legacy_MCA!A166,Legacy_MCA!B166&amp;" "&amp;Legacy_MCA!C166&amp;" "&amp;Legacy_MCA!D166&amp;" "&amp;Legacy_MCA!E166&amp;" "&amp;Legacy_MCA!F166&amp;" "&amp;Legacy_MCA!G166&amp;" "&amp;Legacy_MCA!H166&amp;" "&amp;Legacy_MCA!I166, "to_be_deleted")</f>
        <v>Enter any additional pending information that needs to be report to Market       (Enter Respective stake holder associated with pending item)</v>
      </c>
    </row>
    <row r="169" spans="1:1" x14ac:dyDescent="0.3">
      <c r="A169" s="55" t="str">
        <f>IF(Legacy_MCA!A168,Legacy_MCA!B168, "to_be_deleted")</f>
        <v>Pre-Existing Issues:</v>
      </c>
    </row>
    <row r="170" spans="1:1" x14ac:dyDescent="0.3">
      <c r="A170" s="56">
        <v>46155</v>
      </c>
    </row>
    <row r="171" spans="1:1" x14ac:dyDescent="0.3">
      <c r="A171" t="str">
        <f>IF(Legacy_MCA!A169,Legacy_MCA!B169, "to_be_deleted")</f>
        <v>Enter any Pre-Existing Issues that needs to be reported to Market</v>
      </c>
    </row>
    <row r="172" spans="1:1" x14ac:dyDescent="0.3">
      <c r="A172" t="str">
        <f>IF(Legacy_MCA!A170,Legacy_MCA!B170, "to_be_deleted")</f>
        <v>Enter any Pre-Existing Issues that needs to be reported to Market</v>
      </c>
    </row>
    <row r="173" spans="1:1" x14ac:dyDescent="0.3">
      <c r="A173" t="str">
        <f>IF(Legacy_MCA!A171,Legacy_MCA!B171, "to_be_deleted")</f>
        <v>Enter any Pre-Existing Issues that needs to be reported to Market</v>
      </c>
    </row>
    <row r="174" spans="1:1" x14ac:dyDescent="0.3">
      <c r="A174" t="str">
        <f>IF(Legacy_MCA!A172,Legacy_MCA!B172, "to_be_deleted")</f>
        <v>Enter any Pre-Existing Issues that needs to be reported to Market</v>
      </c>
    </row>
    <row r="175" spans="1:1" x14ac:dyDescent="0.3">
      <c r="A175" t="str">
        <f>IF(Legacy_MCA!A173,Legacy_MCA!B173, "to_be_deleted")</f>
        <v>Enter any Pre-Existing Issues that needs to be reported to Market</v>
      </c>
    </row>
    <row r="176" spans="1:1" x14ac:dyDescent="0.3">
      <c r="A176" t="str">
        <f>IF(Legacy_MCA!A174,Legacy_MCA!B174, "to_be_deleted")</f>
        <v>Enter any Pre-Existing Issues that needs to be reported to Market</v>
      </c>
    </row>
    <row r="177" spans="1:1" x14ac:dyDescent="0.3">
      <c r="A177" t="str">
        <f>IF(Legacy_MCA!A175,Legacy_MCA!B175, "to_be_deleted")</f>
        <v>Enter any Pre-Existing Issues that needs to be reported to Market</v>
      </c>
    </row>
    <row r="178" spans="1:1" x14ac:dyDescent="0.3">
      <c r="A178" t="str">
        <f>IF(Legacy_MCA!A176,Legacy_MCA!B176, "to_be_deleted")</f>
        <v>Enter any Pre-Existing Issues that needs to be reported to Market</v>
      </c>
    </row>
    <row r="179" spans="1:1" x14ac:dyDescent="0.3">
      <c r="A179" t="str">
        <f>IF(Legacy_MCA!A177,Legacy_MCA!B177, "to_be_deleted")</f>
        <v>Enter any Pre-Existing Issues that needs to be reported to Market</v>
      </c>
    </row>
    <row r="180" spans="1:1" x14ac:dyDescent="0.3">
      <c r="A180" t="str">
        <f>IF(Legacy_MCA!A178,Legacy_MCA!B178, "to_be_deleted")</f>
        <v>Enter any Pre-Existing Issues that needs to be reported to Market</v>
      </c>
    </row>
    <row r="182" spans="1:1" x14ac:dyDescent="0.3">
      <c r="A182" s="55" t="str">
        <f>IF(Legacy_MCA!A180,Legacy_MCA!B180, "to_be_deleted")</f>
        <v>Notes:</v>
      </c>
    </row>
    <row r="183" spans="1:1" x14ac:dyDescent="0.3">
      <c r="A183" s="56">
        <v>46155</v>
      </c>
    </row>
    <row r="184" spans="1:1" x14ac:dyDescent="0.3">
      <c r="A184" t="str">
        <f>IF(Legacy_MCA!A181,Legacy_MCA!B181, "to_be_deleted")</f>
        <v>Final Port Configuration attached.</v>
      </c>
    </row>
    <row r="185" spans="1:1" x14ac:dyDescent="0.3">
      <c r="A185" t="str">
        <f>IF(Legacy_MCA!A182,Legacy_MCA!B182, "to_be_deleted")</f>
        <v>NR configuration has been verified.</v>
      </c>
    </row>
    <row r="186" spans="1:1" x14ac:dyDescent="0.3">
      <c r="A186" t="str">
        <f>IF(Legacy_MCA!A183,Legacy_MCA!B183, "to_be_deleted")</f>
        <v>Pre-Existing MME configuration left as it is on node xxNode_Idxx</v>
      </c>
    </row>
    <row r="187" spans="1:1" x14ac:dyDescent="0.3">
      <c r="A187" t="str">
        <f>IF(Legacy_MCA!A184,Legacy_MCA!B184, "to_be_deleted")</f>
        <v>Enter Notes that need to be reported or addressed to Market</v>
      </c>
    </row>
    <row r="188" spans="1:1" x14ac:dyDescent="0.3">
      <c r="A188" t="str">
        <f>IF(Legacy_MCA!A185,Legacy_MCA!B185, "to_be_deleted")</f>
        <v>Enter Notes that need to be reported or addressed to Market</v>
      </c>
    </row>
    <row r="189" spans="1:1" x14ac:dyDescent="0.3">
      <c r="A189" t="str">
        <f>IF(Legacy_MCA!A186,Legacy_MCA!B186, "to_be_deleted")</f>
        <v>Enter Notes that need to be reported or addressed to Market</v>
      </c>
    </row>
    <row r="190" spans="1:1" x14ac:dyDescent="0.3">
      <c r="A190" t="str">
        <f>IF(Legacy_MCA!A187,Legacy_MCA!B187, "to_be_deleted")</f>
        <v>Enter Notes that need to be reported or addressed to Market</v>
      </c>
    </row>
    <row r="191" spans="1:1" x14ac:dyDescent="0.3">
      <c r="A191" t="str">
        <f>IF(Legacy_MCA!A188,Legacy_MCA!B188, "to_be_deleted")</f>
        <v>Enter Notes that need to be reported or addressed to Market</v>
      </c>
    </row>
    <row r="192" spans="1:1" x14ac:dyDescent="0.3">
      <c r="A192" t="str">
        <f>IF(Legacy_MCA!A189,Legacy_MCA!B189, "to_be_deleted")</f>
        <v>Enter Notes that need to be reported or addressed to Market</v>
      </c>
    </row>
    <row r="193" spans="1:1" x14ac:dyDescent="0.3">
      <c r="A193" t="str">
        <f>IF(Legacy_MCA!A190,Legacy_MCA!B190, "to_be_deleted")</f>
        <v>Enter Notes that need to be reported or addressed to Market</v>
      </c>
    </row>
    <row r="194" spans="1:1" x14ac:dyDescent="0.3">
      <c r="A194" t="str">
        <f>IF(Legacy_MCA!A191,Legacy_MCA!B191, "to_be_deleted")</f>
        <v>Enter Notes that need to be reported or addressed to Market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7bd2e12-0bd4-485d-a1e1-e2f0ac3119c6" xsi:nil="true"/>
    <lcf76f155ced4ddcb4097134ff3c332f xmlns="c23df52c-e58f-4ca9-aa97-ac4debcc45fd">
      <Terms xmlns="http://schemas.microsoft.com/office/infopath/2007/PartnerControls"/>
    </lcf76f155ced4ddcb4097134ff3c332f>
    <Baseline xmlns="c23df52c-e58f-4ca9-aa97-ac4debcc45f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9397B8A397C84B8EDF55C13DF95631" ma:contentTypeVersion="19" ma:contentTypeDescription="Create a new document." ma:contentTypeScope="" ma:versionID="6dae0455e7472858f30ded7522c80317">
  <xsd:schema xmlns:xsd="http://www.w3.org/2001/XMLSchema" xmlns:xs="http://www.w3.org/2001/XMLSchema" xmlns:p="http://schemas.microsoft.com/office/2006/metadata/properties" xmlns:ns2="c23df52c-e58f-4ca9-aa97-ac4debcc45fd" xmlns:ns3="27bd2e12-0bd4-485d-a1e1-e2f0ac3119c6" targetNamespace="http://schemas.microsoft.com/office/2006/metadata/properties" ma:root="true" ma:fieldsID="4400b2d56c624ac8ca6f10d7cc0f0c19" ns2:_="" ns3:_="">
    <xsd:import namespace="c23df52c-e58f-4ca9-aa97-ac4debcc45fd"/>
    <xsd:import namespace="27bd2e12-0bd4-485d-a1e1-e2f0ac3119c6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SearchProperties" minOccurs="0"/>
                <xsd:element ref="ns2:MediaLengthInSeconds" minOccurs="0"/>
                <xsd:element ref="ns2:Baselin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3df52c-e58f-4ca9-aa97-ac4debcc45fd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5" nillable="true" ma:taxonomy="true" ma:internalName="lcf76f155ced4ddcb4097134ff3c332f" ma:taxonomyFieldName="MediaServiceImageTags" ma:displayName="Image Tags" ma:readOnly="false" ma:fieldId="{5cf76f15-5ced-4ddc-b409-7134ff3c332f}" ma:taxonomyMulti="true" ma:sspId="7ce1f86a-91dc-4ba2-abdf-761f1d4317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Baseline" ma:index="20" nillable="true" ma:displayName="Baseline" ma:format="Dropdown" ma:internalName="Baselin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bd2e12-0bd4-485d-a1e1-e2f0ac3119c6" elementFormDefault="qualified">
    <xsd:import namespace="http://schemas.microsoft.com/office/2006/documentManagement/types"/>
    <xsd:import namespace="http://schemas.microsoft.com/office/infopath/2007/PartnerControls"/>
    <xsd:element name="TaxCatchAll" ma:index="6" nillable="true" ma:displayName="Taxonomy Catch All Column" ma:hidden="true" ma:list="{887d1cdb-6a7d-48f9-8998-b9a941d88514}" ma:internalName="TaxCatchAll" ma:showField="CatchAllData" ma:web="27bd2e12-0bd4-485d-a1e1-e2f0ac3119c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4BA674-0D1B-4F03-8794-C309BA1581BC}">
  <ds:schemaRefs>
    <ds:schemaRef ds:uri="http://schemas.microsoft.com/office/2006/metadata/properties"/>
    <ds:schemaRef ds:uri="http://schemas.microsoft.com/office/infopath/2007/PartnerControls"/>
    <ds:schemaRef ds:uri="27bd2e12-0bd4-485d-a1e1-e2f0ac3119c6"/>
    <ds:schemaRef ds:uri="c23df52c-e58f-4ca9-aa97-ac4debcc45fd"/>
  </ds:schemaRefs>
</ds:datastoreItem>
</file>

<file path=customXml/itemProps2.xml><?xml version="1.0" encoding="utf-8"?>
<ds:datastoreItem xmlns:ds="http://schemas.openxmlformats.org/officeDocument/2006/customXml" ds:itemID="{E1B8CFE6-803D-4167-BE22-4FDFF1B8B4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6933C7-6D9F-4143-96EA-A442EF9A40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3df52c-e58f-4ca9-aa97-ac4debcc45fd"/>
    <ds:schemaRef ds:uri="27bd2e12-0bd4-485d-a1e1-e2f0ac3119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Legacy_MCA</vt:lpstr>
      <vt:lpstr>Report_MCA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Amitvikram Upadhya</dc:creator>
  <cp:keywords/>
  <dc:description/>
  <cp:lastModifiedBy>Akshatha Kallur</cp:lastModifiedBy>
  <cp:revision/>
  <dcterms:created xsi:type="dcterms:W3CDTF">2024-08-12T20:21:41Z</dcterms:created>
  <dcterms:modified xsi:type="dcterms:W3CDTF">2026-07-22T14:44:16Z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0x010100019397B8A397C84B8EDF55C13DF95631</vt:lpwstr>
  </property>
</Properties>
</file>